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zhehao/Desktop/phD/Belief project/t+1_period_estimation/Opinion_level_estimation/including edulevel,pc/"/>
    </mc:Choice>
  </mc:AlternateContent>
  <xr:revisionPtr revIDLastSave="0" documentId="13_ncr:1_{69B98992-B211-C541-8B64-1AF2E09DFB67}" xr6:coauthVersionLast="47" xr6:coauthVersionMax="47" xr10:uidLastSave="{00000000-0000-0000-0000-000000000000}"/>
  <bookViews>
    <workbookView xWindow="7420" yWindow="2000" windowWidth="25480" windowHeight="18300" xr2:uid="{CAE145B8-D146-C140-A1EC-E2A6538E954B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1" i="2" l="1"/>
  <c r="V62" i="2"/>
  <c r="V60" i="2"/>
  <c r="V49" i="2"/>
  <c r="V50" i="2"/>
  <c r="V51" i="2"/>
  <c r="V52" i="2"/>
  <c r="V53" i="2"/>
  <c r="V54" i="2"/>
  <c r="V55" i="2"/>
  <c r="V56" i="2"/>
  <c r="V48" i="2"/>
  <c r="V39" i="2"/>
  <c r="V40" i="2"/>
  <c r="V41" i="2"/>
  <c r="V42" i="2"/>
  <c r="V43" i="2"/>
  <c r="V44" i="2"/>
  <c r="V38" i="2"/>
  <c r="V33" i="2"/>
  <c r="V34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2" i="2"/>
  <c r="F23" i="2"/>
  <c r="F24" i="2"/>
  <c r="F25" i="2"/>
  <c r="F26" i="2"/>
  <c r="F27" i="2"/>
  <c r="F28" i="2"/>
  <c r="F29" i="2"/>
  <c r="F30" i="2"/>
  <c r="F31" i="2"/>
  <c r="F32" i="2"/>
  <c r="F33" i="2"/>
  <c r="F34" i="2"/>
  <c r="F60" i="2"/>
  <c r="F61" i="2"/>
  <c r="F62" i="2"/>
  <c r="F63" i="2"/>
  <c r="F59" i="2"/>
  <c r="F47" i="2"/>
  <c r="F48" i="2"/>
  <c r="F49" i="2"/>
  <c r="F50" i="2"/>
  <c r="F51" i="2"/>
  <c r="F52" i="2"/>
  <c r="F53" i="2"/>
  <c r="F54" i="2"/>
  <c r="F55" i="2"/>
  <c r="F37" i="2"/>
  <c r="F38" i="2"/>
  <c r="F39" i="2"/>
  <c r="F40" i="2"/>
  <c r="F41" i="2"/>
  <c r="F42" i="2"/>
  <c r="F43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3" i="2"/>
  <c r="F4" i="2"/>
  <c r="F2" i="2"/>
</calcChain>
</file>

<file path=xl/sharedStrings.xml><?xml version="1.0" encoding="utf-8"?>
<sst xmlns="http://schemas.openxmlformats.org/spreadsheetml/2006/main" count="46" uniqueCount="16">
  <si>
    <t>social pressure</t>
  </si>
  <si>
    <t>estimate beta</t>
  </si>
  <si>
    <t>average variable value</t>
  </si>
  <si>
    <t>vaiable</t>
  </si>
  <si>
    <t>constant</t>
  </si>
  <si>
    <t>news importance</t>
  </si>
  <si>
    <t>news number</t>
  </si>
  <si>
    <t>voter turnout</t>
  </si>
  <si>
    <t>unemployment</t>
  </si>
  <si>
    <t>education diversity</t>
  </si>
  <si>
    <t>education level</t>
  </si>
  <si>
    <t>political color</t>
  </si>
  <si>
    <t>opinion</t>
  </si>
  <si>
    <t>beta</t>
  </si>
  <si>
    <t>opnion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</si>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</sst>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v>political color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Sheet1!$H$37:$H$43</c:f>
              <c:numCache>
                <c:formatCode>General</c:formatCode>
                <c:ptCount val="7"/>
                <c:pt idx="0">
                  <c:v>-0.1</c:v>
                </c:pt>
                <c:pt idx="1">
                  <c:v>-0.05</c:v>
                </c:pt>
                <c:pt idx="2">
                  <c:v>0</c:v>
                </c:pt>
                <c:pt idx="3">
                  <c:v>0.05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</c:numCache>
            </c:numRef>
          </c:xVal>
          <c:yVal>
            <c:numRef>
              <c:f>Sheet1!$F$37:$F$43</c:f>
              <c:numCache>
                <c:formatCode>General</c:formatCode>
                <c:ptCount val="7"/>
                <c:pt idx="0">
                  <c:v>61.955500000000043</c:v>
                </c:pt>
                <c:pt idx="1">
                  <c:v>60.974500000000042</c:v>
                </c:pt>
                <c:pt idx="2">
                  <c:v>59.99350000000004</c:v>
                </c:pt>
                <c:pt idx="3">
                  <c:v>59.012500000000038</c:v>
                </c:pt>
                <c:pt idx="4">
                  <c:v>58.031500000000037</c:v>
                </c:pt>
                <c:pt idx="5">
                  <c:v>57.050500000000042</c:v>
                </c:pt>
                <c:pt idx="6">
                  <c:v>56.069500000000041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18-984A-A014-869670EC9B02}"/>
            </c:ext>
          </c:extLst>
        </c:ser>
        <c:ser>
          <c:idx val="2"/>
          <c:order val="1"/>
          <c:tx>
            <c:v>education level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Sheet1!$H$47:$H$55</c:f>
              <c:numCache>
                <c:formatCode>General</c:formatCode>
                <c:ptCount val="9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  <c:pt idx="7">
                  <c:v>0.65</c:v>
                </c:pt>
                <c:pt idx="8">
                  <c:v>0.7</c:v>
                </c:pt>
              </c:numCache>
            </c:numRef>
          </c:xVal>
          <c:yVal>
            <c:numRef>
              <c:f>Sheet1!$F$47:$F$55</c:f>
              <c:numCache>
                <c:formatCode>General</c:formatCode>
                <c:ptCount val="9"/>
                <c:pt idx="0">
                  <c:v>51.29230000000004</c:v>
                </c:pt>
                <c:pt idx="1">
                  <c:v>53.092300000000044</c:v>
                </c:pt>
                <c:pt idx="2">
                  <c:v>54.892300000000041</c:v>
                </c:pt>
                <c:pt idx="3">
                  <c:v>56.692300000000046</c:v>
                </c:pt>
                <c:pt idx="4">
                  <c:v>58.492300000000043</c:v>
                </c:pt>
                <c:pt idx="5">
                  <c:v>60.29230000000004</c:v>
                </c:pt>
                <c:pt idx="6">
                  <c:v>62.092300000000037</c:v>
                </c:pt>
                <c:pt idx="7">
                  <c:v>63.892300000000048</c:v>
                </c:pt>
                <c:pt idx="8">
                  <c:v>65.692300000000046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E18-984A-A014-869670EC9B02}"/>
            </c:ext>
          </c:extLst>
        </c:ser>
        <c:ser>
          <c:idx val="3"/>
          <c:order val="2"/>
          <c:tx>
            <c:v>education diversity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Sheet1!$H$59:$H$63</c:f>
              <c:numCache>
                <c:formatCode>General</c:formatCode>
                <c:ptCount val="5"/>
                <c:pt idx="0">
                  <c:v>1</c:v>
                </c:pt>
                <c:pt idx="1">
                  <c:v>1.05</c:v>
                </c:pt>
                <c:pt idx="2">
                  <c:v>1.1000000000000001</c:v>
                </c:pt>
                <c:pt idx="3">
                  <c:v>1.1499999999999999</c:v>
                </c:pt>
                <c:pt idx="4">
                  <c:v>1.2</c:v>
                </c:pt>
              </c:numCache>
            </c:numRef>
          </c:xVal>
          <c:yVal>
            <c:numRef>
              <c:f>Sheet1!$F$59:$F$63</c:f>
              <c:numCache>
                <c:formatCode>General</c:formatCode>
                <c:ptCount val="5"/>
                <c:pt idx="0">
                  <c:v>46.824300000000022</c:v>
                </c:pt>
                <c:pt idx="1">
                  <c:v>54.319300000000027</c:v>
                </c:pt>
                <c:pt idx="2">
                  <c:v>61.814300000000031</c:v>
                </c:pt>
                <c:pt idx="3">
                  <c:v>69.309300000000007</c:v>
                </c:pt>
                <c:pt idx="4">
                  <c:v>76.804300000000012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E18-984A-A014-869670EC9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01407"/>
        <c:axId val="48797823"/>
      </c:scatterChart>
      <c:valAx>
        <c:axId val="48801407"/>
        <c:scaling>
          <c:orientation val="minMax"/>
          <c:min val="-0.2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48797823"/>
        <c:crosses val="autoZero"/>
        <c:crossBetween val="midCat"/>
      </c:valAx>
      <c:valAx>
        <c:axId val="48797823"/>
        <c:scaling>
          <c:orientation val="minMax"/>
          <c:max val="85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48801407"/>
        <c:crossesAt val="-0.2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news importance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Sheet1!$X$2:$X$34</c:f>
              <c:numCache>
                <c:formatCode>General</c:formatCode>
                <c:ptCount val="3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0.55000000000000004</c:v>
                </c:pt>
                <c:pt idx="10">
                  <c:v>0.6</c:v>
                </c:pt>
                <c:pt idx="11">
                  <c:v>0.65</c:v>
                </c:pt>
                <c:pt idx="12">
                  <c:v>0.7</c:v>
                </c:pt>
                <c:pt idx="13">
                  <c:v>0.75</c:v>
                </c:pt>
                <c:pt idx="14">
                  <c:v>0.8</c:v>
                </c:pt>
                <c:pt idx="15">
                  <c:v>0.85</c:v>
                </c:pt>
                <c:pt idx="16">
                  <c:v>0.9</c:v>
                </c:pt>
                <c:pt idx="17">
                  <c:v>0.95</c:v>
                </c:pt>
                <c:pt idx="18">
                  <c:v>1</c:v>
                </c:pt>
                <c:pt idx="19">
                  <c:v>1.05</c:v>
                </c:pt>
                <c:pt idx="20">
                  <c:v>1.1000000000000001</c:v>
                </c:pt>
                <c:pt idx="21">
                  <c:v>1.1499999999999999</c:v>
                </c:pt>
                <c:pt idx="22">
                  <c:v>1.2</c:v>
                </c:pt>
                <c:pt idx="23">
                  <c:v>1.25</c:v>
                </c:pt>
                <c:pt idx="24">
                  <c:v>1.3</c:v>
                </c:pt>
                <c:pt idx="25">
                  <c:v>1.35</c:v>
                </c:pt>
                <c:pt idx="26">
                  <c:v>1.4</c:v>
                </c:pt>
                <c:pt idx="27">
                  <c:v>1.45</c:v>
                </c:pt>
                <c:pt idx="28">
                  <c:v>1.5</c:v>
                </c:pt>
                <c:pt idx="29">
                  <c:v>1.55</c:v>
                </c:pt>
                <c:pt idx="30">
                  <c:v>1.6</c:v>
                </c:pt>
                <c:pt idx="31">
                  <c:v>1.65</c:v>
                </c:pt>
                <c:pt idx="32">
                  <c:v>1.7</c:v>
                </c:pt>
              </c:numCache>
            </c:numRef>
          </c:xVal>
          <c:yVal>
            <c:numRef>
              <c:f>Sheet1!$V$2:$V$34</c:f>
              <c:numCache>
                <c:formatCode>General</c:formatCode>
                <c:ptCount val="33"/>
                <c:pt idx="0">
                  <c:v>58.649700000000003</c:v>
                </c:pt>
                <c:pt idx="1">
                  <c:v>58.719699999999996</c:v>
                </c:pt>
                <c:pt idx="2">
                  <c:v>58.789699999999989</c:v>
                </c:pt>
                <c:pt idx="3">
                  <c:v>58.859699999999982</c:v>
                </c:pt>
                <c:pt idx="4">
                  <c:v>58.929699999999976</c:v>
                </c:pt>
                <c:pt idx="5">
                  <c:v>58.999700000000026</c:v>
                </c:pt>
                <c:pt idx="6">
                  <c:v>59.069700000000019</c:v>
                </c:pt>
                <c:pt idx="7">
                  <c:v>59.139700000000012</c:v>
                </c:pt>
                <c:pt idx="8">
                  <c:v>59.209700000000005</c:v>
                </c:pt>
                <c:pt idx="9">
                  <c:v>59.279699999999998</c:v>
                </c:pt>
                <c:pt idx="10">
                  <c:v>59.349699999999991</c:v>
                </c:pt>
                <c:pt idx="11">
                  <c:v>59.419699999999985</c:v>
                </c:pt>
                <c:pt idx="12">
                  <c:v>59.489699999999978</c:v>
                </c:pt>
                <c:pt idx="13">
                  <c:v>59.559700000000028</c:v>
                </c:pt>
                <c:pt idx="14">
                  <c:v>59.629700000000021</c:v>
                </c:pt>
                <c:pt idx="15">
                  <c:v>59.699700000000014</c:v>
                </c:pt>
                <c:pt idx="16">
                  <c:v>59.769700000000007</c:v>
                </c:pt>
                <c:pt idx="17">
                  <c:v>59.839700000000001</c:v>
                </c:pt>
                <c:pt idx="18">
                  <c:v>59.909699999999994</c:v>
                </c:pt>
                <c:pt idx="19">
                  <c:v>59.979699999999987</c:v>
                </c:pt>
                <c:pt idx="20">
                  <c:v>60.04969999999998</c:v>
                </c:pt>
                <c:pt idx="21">
                  <c:v>60.11970000000003</c:v>
                </c:pt>
                <c:pt idx="22">
                  <c:v>60.189700000000023</c:v>
                </c:pt>
                <c:pt idx="23">
                  <c:v>60.259700000000016</c:v>
                </c:pt>
                <c:pt idx="24">
                  <c:v>60.32970000000001</c:v>
                </c:pt>
                <c:pt idx="25">
                  <c:v>60.399700000000003</c:v>
                </c:pt>
                <c:pt idx="26">
                  <c:v>60.469699999999996</c:v>
                </c:pt>
                <c:pt idx="27">
                  <c:v>60.539699999999989</c:v>
                </c:pt>
                <c:pt idx="28">
                  <c:v>60.609699999999982</c:v>
                </c:pt>
                <c:pt idx="29">
                  <c:v>60.679699999999976</c:v>
                </c:pt>
                <c:pt idx="30">
                  <c:v>60.749700000000026</c:v>
                </c:pt>
                <c:pt idx="31">
                  <c:v>60.819700000000019</c:v>
                </c:pt>
                <c:pt idx="32">
                  <c:v>60.889700000000012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21-DA47-9C39-AFEA19EC141F}"/>
            </c:ext>
          </c:extLst>
        </c:ser>
        <c:ser>
          <c:idx val="3"/>
          <c:order val="1"/>
          <c:tx>
            <c:v>social pressure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Sheet1!$X$60:$X$62</c:f>
              <c:numCache>
                <c:formatCode>General</c:formatCode>
                <c:ptCount val="3"/>
                <c:pt idx="0">
                  <c:v>0.6</c:v>
                </c:pt>
                <c:pt idx="1">
                  <c:v>0.65</c:v>
                </c:pt>
                <c:pt idx="2">
                  <c:v>0.7</c:v>
                </c:pt>
              </c:numCache>
            </c:numRef>
          </c:xVal>
          <c:yVal>
            <c:numRef>
              <c:f>Sheet1!$V$60:$V$62</c:f>
              <c:numCache>
                <c:formatCode>General</c:formatCode>
                <c:ptCount val="3"/>
                <c:pt idx="0">
                  <c:v>82.037700000000029</c:v>
                </c:pt>
                <c:pt idx="1">
                  <c:v>67.927700000000016</c:v>
                </c:pt>
                <c:pt idx="2">
                  <c:v>53.817700000000038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21-DA47-9C39-AFEA19EC1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16639"/>
        <c:axId val="42187647"/>
      </c:scatterChart>
      <c:valAx>
        <c:axId val="47416639"/>
        <c:scaling>
          <c:orientation val="minMax"/>
          <c:min val="-0.2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42187647"/>
        <c:crosses val="autoZero"/>
        <c:crossBetween val="midCat"/>
      </c:valAx>
      <c:valAx>
        <c:axId val="42187647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47416639"/>
        <c:crossesAt val="-0.2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754865</xdr:colOff>
      <xdr:row>5</xdr:row>
      <xdr:rowOff>33618</xdr:rowOff>
    </xdr:from>
    <xdr:to>
      <xdr:col>15</xdr:col>
      <xdr:colOff>447782</xdr:colOff>
      <xdr:row>28</xdr:row>
      <xdr:rowOff>10786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95926E-3B7E-ADB0-2044-D5524CEB9E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288322</xdr:colOff>
      <xdr:row>4</xdr:row>
      <xdr:rowOff>178714</xdr:rowOff>
    </xdr:from>
    <xdr:to>
      <xdr:col>31</xdr:col>
      <xdr:colOff>808879</xdr:colOff>
      <xdr:row>27</xdr:row>
      <xdr:rowOff>155882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060E02-7F5F-F329-1A3C-3E8F2F374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88B73-CB1E-8344-9869-F1F6B925F699}">
  <dimension ref="A1:X63"/>
  <sheetViews>
    <sheetView tabSelected="1" topLeftCell="K1" zoomScale="75" workbookViewId="0">
      <selection activeCell="R42" sqref="R42"/>
    </sheetView>
  </sheetViews>
  <sheetFormatPr baseColWidth="10" defaultRowHeight="16" x14ac:dyDescent="0.2"/>
  <sheetData>
    <row r="1" spans="1:24" x14ac:dyDescent="0.2">
      <c r="A1" t="s">
        <v>3</v>
      </c>
      <c r="B1" t="s">
        <v>1</v>
      </c>
      <c r="C1" t="s">
        <v>2</v>
      </c>
      <c r="F1" t="s">
        <v>12</v>
      </c>
      <c r="G1" t="s">
        <v>13</v>
      </c>
      <c r="H1" t="s">
        <v>5</v>
      </c>
      <c r="Q1" t="s">
        <v>15</v>
      </c>
      <c r="R1" t="s">
        <v>1</v>
      </c>
      <c r="S1" t="s">
        <v>2</v>
      </c>
      <c r="V1" t="s">
        <v>12</v>
      </c>
      <c r="W1" t="s">
        <v>13</v>
      </c>
      <c r="X1" t="s">
        <v>5</v>
      </c>
    </row>
    <row r="2" spans="1:24" x14ac:dyDescent="0.2">
      <c r="A2" t="s">
        <v>4</v>
      </c>
      <c r="B2">
        <v>-65.3</v>
      </c>
      <c r="C2">
        <v>2</v>
      </c>
      <c r="F2">
        <f>$B$2*$C$2+G2*H2+$B$3*$C$3+$B$4*$C$4+$B$5*$C$5+$B$6*$C$6+$B$7*$C$7+$B$8*$C$8+$B$9*$C$9</f>
        <v>58.975300000000033</v>
      </c>
      <c r="G2">
        <v>1.59</v>
      </c>
      <c r="H2">
        <v>0.1</v>
      </c>
      <c r="Q2" t="s">
        <v>4</v>
      </c>
      <c r="R2">
        <v>119.4</v>
      </c>
      <c r="S2">
        <v>2</v>
      </c>
      <c r="V2">
        <f>$R$2*$S$2+W2*X2+$R$4*$S$4+$R$5*$S$5+$R$6*$S$6+$R$7*$S$7+$R$8*$S$8+$R$9*$S$9</f>
        <v>58.649700000000003</v>
      </c>
      <c r="W2">
        <v>1.4</v>
      </c>
      <c r="X2">
        <v>0.1</v>
      </c>
    </row>
    <row r="3" spans="1:24" x14ac:dyDescent="0.2">
      <c r="A3" t="s">
        <v>5</v>
      </c>
      <c r="B3">
        <v>1.59</v>
      </c>
      <c r="C3">
        <v>0.68</v>
      </c>
      <c r="F3">
        <f t="shared" ref="F3:F34" si="0">$B$2*$C$2+G3*H3+$B$3*$C$3+$B$4*$C$4+$B$5*$C$5+$B$6*$C$6+$B$7*$C$7+$B$8*$C$8+$B$9*$C$9</f>
        <v>59.054800000000029</v>
      </c>
      <c r="G3">
        <v>1.59</v>
      </c>
      <c r="H3">
        <v>0.15</v>
      </c>
      <c r="Q3" t="s">
        <v>5</v>
      </c>
      <c r="R3">
        <v>1.4</v>
      </c>
      <c r="S3">
        <v>0.68</v>
      </c>
      <c r="V3">
        <f t="shared" ref="V3:V34" si="1">$R$2*$S$2+W3*X3+$R$4*$S$4+$R$5*$S$5+$R$6*$S$6+$R$7*$S$7+$R$8*$S$8+$R$9*$S$9</f>
        <v>58.719699999999996</v>
      </c>
      <c r="W3">
        <v>1.4</v>
      </c>
      <c r="X3">
        <v>0.15</v>
      </c>
    </row>
    <row r="4" spans="1:24" x14ac:dyDescent="0.2">
      <c r="A4" t="s">
        <v>6</v>
      </c>
      <c r="B4">
        <v>-0.19</v>
      </c>
      <c r="C4">
        <v>3.4</v>
      </c>
      <c r="F4">
        <f t="shared" si="0"/>
        <v>59.134300000000053</v>
      </c>
      <c r="G4">
        <v>1.59</v>
      </c>
      <c r="H4">
        <v>0.2</v>
      </c>
      <c r="Q4" t="s">
        <v>6</v>
      </c>
      <c r="R4">
        <v>-0.14000000000000001</v>
      </c>
      <c r="S4">
        <v>3.4</v>
      </c>
      <c r="V4">
        <f t="shared" si="1"/>
        <v>58.789699999999989</v>
      </c>
      <c r="W4">
        <v>1.4</v>
      </c>
      <c r="X4">
        <v>0.2</v>
      </c>
    </row>
    <row r="5" spans="1:24" x14ac:dyDescent="0.2">
      <c r="A5" t="s">
        <v>7</v>
      </c>
      <c r="B5">
        <v>0.23</v>
      </c>
      <c r="C5">
        <v>84.17</v>
      </c>
      <c r="F5">
        <f t="shared" si="0"/>
        <v>59.213800000000049</v>
      </c>
      <c r="G5">
        <v>1.59</v>
      </c>
      <c r="H5">
        <v>0.25</v>
      </c>
      <c r="Q5" t="s">
        <v>7</v>
      </c>
      <c r="R5">
        <v>0.27</v>
      </c>
      <c r="S5">
        <v>84.17</v>
      </c>
      <c r="V5">
        <f t="shared" si="1"/>
        <v>58.859699999999982</v>
      </c>
      <c r="W5">
        <v>1.4</v>
      </c>
      <c r="X5">
        <v>0.25</v>
      </c>
    </row>
    <row r="6" spans="1:24" x14ac:dyDescent="0.2">
      <c r="A6" t="s">
        <v>8</v>
      </c>
      <c r="B6">
        <v>-0.79</v>
      </c>
      <c r="C6">
        <v>11.92</v>
      </c>
      <c r="F6">
        <f t="shared" si="0"/>
        <v>59.293300000000045</v>
      </c>
      <c r="G6">
        <v>1.59</v>
      </c>
      <c r="H6">
        <v>0.3</v>
      </c>
      <c r="Q6" t="s">
        <v>8</v>
      </c>
      <c r="R6">
        <v>-0.9</v>
      </c>
      <c r="S6">
        <v>11.92</v>
      </c>
      <c r="V6">
        <f t="shared" si="1"/>
        <v>58.929699999999976</v>
      </c>
      <c r="W6">
        <v>1.4</v>
      </c>
      <c r="X6">
        <v>0.3</v>
      </c>
    </row>
    <row r="7" spans="1:24" x14ac:dyDescent="0.2">
      <c r="A7" t="s">
        <v>9</v>
      </c>
      <c r="B7">
        <v>149.9</v>
      </c>
      <c r="C7">
        <v>1.08</v>
      </c>
      <c r="F7">
        <f t="shared" si="0"/>
        <v>59.372800000000041</v>
      </c>
      <c r="G7">
        <v>1.59</v>
      </c>
      <c r="H7">
        <v>0.35</v>
      </c>
      <c r="Q7" t="s">
        <v>0</v>
      </c>
      <c r="R7">
        <v>-282.2</v>
      </c>
      <c r="S7">
        <v>0.68</v>
      </c>
      <c r="V7">
        <f t="shared" si="1"/>
        <v>58.999700000000026</v>
      </c>
      <c r="W7">
        <v>1.4</v>
      </c>
      <c r="X7">
        <v>0.35</v>
      </c>
    </row>
    <row r="8" spans="1:24" x14ac:dyDescent="0.2">
      <c r="A8" t="s">
        <v>10</v>
      </c>
      <c r="B8">
        <v>0.36</v>
      </c>
      <c r="C8">
        <v>50.9</v>
      </c>
      <c r="F8">
        <f t="shared" si="0"/>
        <v>59.452300000000037</v>
      </c>
      <c r="G8">
        <v>1.59</v>
      </c>
      <c r="H8">
        <v>0.4</v>
      </c>
      <c r="Q8" t="s">
        <v>10</v>
      </c>
      <c r="R8">
        <v>0.02</v>
      </c>
      <c r="S8">
        <v>50.9</v>
      </c>
      <c r="V8">
        <f t="shared" si="1"/>
        <v>59.069700000000019</v>
      </c>
      <c r="W8">
        <v>1.4</v>
      </c>
      <c r="X8">
        <v>0.4</v>
      </c>
    </row>
    <row r="9" spans="1:24" x14ac:dyDescent="0.2">
      <c r="A9" t="s">
        <v>11</v>
      </c>
      <c r="B9">
        <v>-19.62</v>
      </c>
      <c r="C9">
        <v>0.06</v>
      </c>
      <c r="F9">
        <f t="shared" si="0"/>
        <v>59.531800000000032</v>
      </c>
      <c r="G9">
        <v>1.59</v>
      </c>
      <c r="H9">
        <v>0.45</v>
      </c>
      <c r="Q9" t="s">
        <v>11</v>
      </c>
      <c r="R9">
        <v>-15.57</v>
      </c>
      <c r="S9">
        <v>0.06</v>
      </c>
      <c r="V9">
        <f t="shared" si="1"/>
        <v>59.139700000000012</v>
      </c>
      <c r="W9">
        <v>1.4</v>
      </c>
      <c r="X9">
        <v>0.45</v>
      </c>
    </row>
    <row r="10" spans="1:24" x14ac:dyDescent="0.2">
      <c r="F10">
        <f t="shared" si="0"/>
        <v>59.611300000000028</v>
      </c>
      <c r="G10">
        <v>1.59</v>
      </c>
      <c r="H10">
        <v>0.5</v>
      </c>
      <c r="V10">
        <f t="shared" si="1"/>
        <v>59.209700000000005</v>
      </c>
      <c r="W10">
        <v>1.4</v>
      </c>
      <c r="X10">
        <v>0.5</v>
      </c>
    </row>
    <row r="11" spans="1:24" x14ac:dyDescent="0.2">
      <c r="F11">
        <f t="shared" si="0"/>
        <v>59.690800000000053</v>
      </c>
      <c r="G11">
        <v>1.59</v>
      </c>
      <c r="H11">
        <v>0.55000000000000004</v>
      </c>
      <c r="V11">
        <f t="shared" si="1"/>
        <v>59.279699999999998</v>
      </c>
      <c r="W11">
        <v>1.4</v>
      </c>
      <c r="X11">
        <v>0.55000000000000004</v>
      </c>
    </row>
    <row r="12" spans="1:24" x14ac:dyDescent="0.2">
      <c r="F12">
        <f t="shared" si="0"/>
        <v>59.770300000000049</v>
      </c>
      <c r="G12">
        <v>1.59</v>
      </c>
      <c r="H12">
        <v>0.6</v>
      </c>
      <c r="V12">
        <f t="shared" si="1"/>
        <v>59.349699999999991</v>
      </c>
      <c r="W12">
        <v>1.4</v>
      </c>
      <c r="X12">
        <v>0.6</v>
      </c>
    </row>
    <row r="13" spans="1:24" x14ac:dyDescent="0.2">
      <c r="F13">
        <f t="shared" si="0"/>
        <v>59.849800000000045</v>
      </c>
      <c r="G13">
        <v>1.59</v>
      </c>
      <c r="H13">
        <v>0.65</v>
      </c>
      <c r="V13">
        <f t="shared" si="1"/>
        <v>59.419699999999985</v>
      </c>
      <c r="W13">
        <v>1.4</v>
      </c>
      <c r="X13">
        <v>0.65</v>
      </c>
    </row>
    <row r="14" spans="1:24" x14ac:dyDescent="0.2">
      <c r="F14">
        <f t="shared" si="0"/>
        <v>59.92930000000004</v>
      </c>
      <c r="G14">
        <v>1.59</v>
      </c>
      <c r="H14">
        <v>0.7</v>
      </c>
      <c r="V14">
        <f t="shared" si="1"/>
        <v>59.489699999999978</v>
      </c>
      <c r="W14">
        <v>1.4</v>
      </c>
      <c r="X14">
        <v>0.7</v>
      </c>
    </row>
    <row r="15" spans="1:24" x14ac:dyDescent="0.2">
      <c r="F15">
        <f t="shared" si="0"/>
        <v>60.008800000000036</v>
      </c>
      <c r="G15">
        <v>1.59</v>
      </c>
      <c r="H15">
        <v>0.75</v>
      </c>
      <c r="V15">
        <f t="shared" si="1"/>
        <v>59.559700000000028</v>
      </c>
      <c r="W15">
        <v>1.4</v>
      </c>
      <c r="X15">
        <v>0.75</v>
      </c>
    </row>
    <row r="16" spans="1:24" x14ac:dyDescent="0.2">
      <c r="F16">
        <f t="shared" si="0"/>
        <v>60.088300000000032</v>
      </c>
      <c r="G16">
        <v>1.59</v>
      </c>
      <c r="H16">
        <v>0.8</v>
      </c>
      <c r="V16">
        <f t="shared" si="1"/>
        <v>59.629700000000021</v>
      </c>
      <c r="W16">
        <v>1.4</v>
      </c>
      <c r="X16">
        <v>0.8</v>
      </c>
    </row>
    <row r="17" spans="6:24" x14ac:dyDescent="0.2">
      <c r="F17">
        <f t="shared" si="0"/>
        <v>60.167800000000028</v>
      </c>
      <c r="G17">
        <v>1.59</v>
      </c>
      <c r="H17">
        <v>0.85</v>
      </c>
      <c r="V17">
        <f t="shared" si="1"/>
        <v>59.699700000000014</v>
      </c>
      <c r="W17">
        <v>1.4</v>
      </c>
      <c r="X17">
        <v>0.85</v>
      </c>
    </row>
    <row r="18" spans="6:24" x14ac:dyDescent="0.2">
      <c r="F18">
        <f t="shared" si="0"/>
        <v>60.247300000000052</v>
      </c>
      <c r="G18">
        <v>1.59</v>
      </c>
      <c r="H18">
        <v>0.9</v>
      </c>
      <c r="V18">
        <f t="shared" si="1"/>
        <v>59.769700000000007</v>
      </c>
      <c r="W18">
        <v>1.4</v>
      </c>
      <c r="X18">
        <v>0.9</v>
      </c>
    </row>
    <row r="19" spans="6:24" x14ac:dyDescent="0.2">
      <c r="F19">
        <f t="shared" si="0"/>
        <v>60.326800000000048</v>
      </c>
      <c r="G19">
        <v>1.59</v>
      </c>
      <c r="H19">
        <v>0.95</v>
      </c>
      <c r="V19">
        <f t="shared" si="1"/>
        <v>59.839700000000001</v>
      </c>
      <c r="W19">
        <v>1.4</v>
      </c>
      <c r="X19">
        <v>0.95</v>
      </c>
    </row>
    <row r="20" spans="6:24" x14ac:dyDescent="0.2">
      <c r="F20">
        <f t="shared" si="0"/>
        <v>60.406300000000044</v>
      </c>
      <c r="G20">
        <v>1.59</v>
      </c>
      <c r="H20">
        <v>1</v>
      </c>
      <c r="V20">
        <f t="shared" si="1"/>
        <v>59.909699999999994</v>
      </c>
      <c r="W20">
        <v>1.4</v>
      </c>
      <c r="X20">
        <v>1</v>
      </c>
    </row>
    <row r="21" spans="6:24" x14ac:dyDescent="0.2">
      <c r="F21">
        <f t="shared" si="0"/>
        <v>60.48580000000004</v>
      </c>
      <c r="G21">
        <v>1.59</v>
      </c>
      <c r="H21">
        <v>1.05</v>
      </c>
      <c r="V21">
        <f t="shared" si="1"/>
        <v>59.979699999999987</v>
      </c>
      <c r="W21">
        <v>1.4</v>
      </c>
      <c r="X21">
        <v>1.05</v>
      </c>
    </row>
    <row r="22" spans="6:24" x14ac:dyDescent="0.2">
      <c r="F22">
        <f t="shared" si="0"/>
        <v>60.565300000000036</v>
      </c>
      <c r="G22">
        <v>1.59</v>
      </c>
      <c r="H22">
        <v>1.1000000000000001</v>
      </c>
      <c r="V22">
        <f t="shared" si="1"/>
        <v>60.04969999999998</v>
      </c>
      <c r="W22">
        <v>1.4</v>
      </c>
      <c r="X22">
        <v>1.1000000000000001</v>
      </c>
    </row>
    <row r="23" spans="6:24" x14ac:dyDescent="0.2">
      <c r="F23">
        <f t="shared" si="0"/>
        <v>60.644800000000032</v>
      </c>
      <c r="G23">
        <v>1.59</v>
      </c>
      <c r="H23">
        <v>1.1499999999999999</v>
      </c>
      <c r="V23">
        <f t="shared" si="1"/>
        <v>60.11970000000003</v>
      </c>
      <c r="W23">
        <v>1.4</v>
      </c>
      <c r="X23">
        <v>1.1499999999999999</v>
      </c>
    </row>
    <row r="24" spans="6:24" x14ac:dyDescent="0.2">
      <c r="F24">
        <f t="shared" si="0"/>
        <v>60.724300000000028</v>
      </c>
      <c r="G24">
        <v>1.59</v>
      </c>
      <c r="H24">
        <v>1.2</v>
      </c>
      <c r="V24">
        <f t="shared" si="1"/>
        <v>60.189700000000023</v>
      </c>
      <c r="W24">
        <v>1.4</v>
      </c>
      <c r="X24">
        <v>1.2</v>
      </c>
    </row>
    <row r="25" spans="6:24" x14ac:dyDescent="0.2">
      <c r="F25">
        <f t="shared" si="0"/>
        <v>60.803800000000052</v>
      </c>
      <c r="G25">
        <v>1.59</v>
      </c>
      <c r="H25">
        <v>1.25</v>
      </c>
      <c r="V25">
        <f t="shared" si="1"/>
        <v>60.259700000000016</v>
      </c>
      <c r="W25">
        <v>1.4</v>
      </c>
      <c r="X25">
        <v>1.25</v>
      </c>
    </row>
    <row r="26" spans="6:24" x14ac:dyDescent="0.2">
      <c r="F26">
        <f t="shared" si="0"/>
        <v>60.883300000000048</v>
      </c>
      <c r="G26">
        <v>1.59</v>
      </c>
      <c r="H26">
        <v>1.3</v>
      </c>
      <c r="V26">
        <f t="shared" si="1"/>
        <v>60.32970000000001</v>
      </c>
      <c r="W26">
        <v>1.4</v>
      </c>
      <c r="X26">
        <v>1.3</v>
      </c>
    </row>
    <row r="27" spans="6:24" x14ac:dyDescent="0.2">
      <c r="F27">
        <f t="shared" si="0"/>
        <v>60.962800000000044</v>
      </c>
      <c r="G27">
        <v>1.59</v>
      </c>
      <c r="H27">
        <v>1.35</v>
      </c>
      <c r="V27">
        <f t="shared" si="1"/>
        <v>60.399700000000003</v>
      </c>
      <c r="W27">
        <v>1.4</v>
      </c>
      <c r="X27">
        <v>1.35</v>
      </c>
    </row>
    <row r="28" spans="6:24" x14ac:dyDescent="0.2">
      <c r="F28">
        <f t="shared" si="0"/>
        <v>61.042300000000026</v>
      </c>
      <c r="G28">
        <v>1.59</v>
      </c>
      <c r="H28">
        <v>1.4</v>
      </c>
      <c r="V28">
        <f t="shared" si="1"/>
        <v>60.469699999999996</v>
      </c>
      <c r="W28">
        <v>1.4</v>
      </c>
      <c r="X28">
        <v>1.4</v>
      </c>
    </row>
    <row r="29" spans="6:24" x14ac:dyDescent="0.2">
      <c r="F29">
        <f t="shared" si="0"/>
        <v>61.121800000000022</v>
      </c>
      <c r="G29">
        <v>1.59</v>
      </c>
      <c r="H29">
        <v>1.45</v>
      </c>
      <c r="V29">
        <f t="shared" si="1"/>
        <v>60.539699999999989</v>
      </c>
      <c r="W29">
        <v>1.4</v>
      </c>
      <c r="X29">
        <v>1.45</v>
      </c>
    </row>
    <row r="30" spans="6:24" x14ac:dyDescent="0.2">
      <c r="F30">
        <f t="shared" si="0"/>
        <v>61.201300000000018</v>
      </c>
      <c r="G30">
        <v>1.59</v>
      </c>
      <c r="H30">
        <v>1.5</v>
      </c>
      <c r="V30">
        <f t="shared" si="1"/>
        <v>60.609699999999982</v>
      </c>
      <c r="W30">
        <v>1.4</v>
      </c>
      <c r="X30">
        <v>1.5</v>
      </c>
    </row>
    <row r="31" spans="6:24" x14ac:dyDescent="0.2">
      <c r="F31">
        <f t="shared" si="0"/>
        <v>61.280800000000013</v>
      </c>
      <c r="G31">
        <v>1.59</v>
      </c>
      <c r="H31">
        <v>1.55</v>
      </c>
      <c r="V31">
        <f t="shared" si="1"/>
        <v>60.679699999999976</v>
      </c>
      <c r="W31">
        <v>1.4</v>
      </c>
      <c r="X31">
        <v>1.55</v>
      </c>
    </row>
    <row r="32" spans="6:24" x14ac:dyDescent="0.2">
      <c r="F32">
        <f t="shared" si="0"/>
        <v>61.360300000000038</v>
      </c>
      <c r="G32">
        <v>1.59</v>
      </c>
      <c r="H32">
        <v>1.6</v>
      </c>
      <c r="V32">
        <f t="shared" si="1"/>
        <v>60.749700000000026</v>
      </c>
      <c r="W32">
        <v>1.4</v>
      </c>
      <c r="X32">
        <v>1.6</v>
      </c>
    </row>
    <row r="33" spans="6:24" x14ac:dyDescent="0.2">
      <c r="F33">
        <f t="shared" si="0"/>
        <v>61.439800000000034</v>
      </c>
      <c r="G33">
        <v>1.59</v>
      </c>
      <c r="H33">
        <v>1.65</v>
      </c>
      <c r="V33">
        <f>$R$2*$S$2+W33*X33+$R$4*$S$4+$R$5*$S$5+$R$6*$S$6+$R$7*$S$7+$R$8*$S$8+$R$9*$S$9</f>
        <v>60.819700000000019</v>
      </c>
      <c r="W33">
        <v>1.4</v>
      </c>
      <c r="X33">
        <v>1.65</v>
      </c>
    </row>
    <row r="34" spans="6:24" x14ac:dyDescent="0.2">
      <c r="F34">
        <f t="shared" si="0"/>
        <v>61.51930000000003</v>
      </c>
      <c r="G34">
        <v>1.59</v>
      </c>
      <c r="H34">
        <v>1.7</v>
      </c>
      <c r="V34">
        <f t="shared" si="1"/>
        <v>60.889700000000012</v>
      </c>
      <c r="W34">
        <v>1.4</v>
      </c>
      <c r="X34">
        <v>1.7</v>
      </c>
    </row>
    <row r="36" spans="6:24" x14ac:dyDescent="0.2">
      <c r="F36" t="s">
        <v>14</v>
      </c>
      <c r="G36" t="s">
        <v>13</v>
      </c>
      <c r="H36" t="s">
        <v>11</v>
      </c>
    </row>
    <row r="37" spans="6:24" x14ac:dyDescent="0.2">
      <c r="F37">
        <f t="shared" ref="F37:F43" si="2">$B$2*$C$2+$B$3*$C$3+$B$4*$C$4+$B$5*$C$5+$B$6*$C$6+$B$7*$C$7+$B$8*$C$8+G37*H37</f>
        <v>61.955500000000043</v>
      </c>
      <c r="G37">
        <v>-19.62</v>
      </c>
      <c r="H37">
        <v>-0.1</v>
      </c>
      <c r="V37" t="s">
        <v>14</v>
      </c>
      <c r="W37" t="s">
        <v>13</v>
      </c>
      <c r="X37" t="s">
        <v>11</v>
      </c>
    </row>
    <row r="38" spans="6:24" x14ac:dyDescent="0.2">
      <c r="F38">
        <f t="shared" si="2"/>
        <v>60.974500000000042</v>
      </c>
      <c r="G38">
        <v>-19.62</v>
      </c>
      <c r="H38">
        <v>-0.05</v>
      </c>
      <c r="V38">
        <f>$R$2*$S$2+$R$3*$S$3+$R$4*$S$4+$R$5*$S$5+$R$6*$S$6+$R$7*$S$7+$R$8*$S$8+W38*X38</f>
        <v>61.952900000000014</v>
      </c>
      <c r="W38">
        <v>-15.57</v>
      </c>
      <c r="X38">
        <v>-0.1</v>
      </c>
    </row>
    <row r="39" spans="6:24" x14ac:dyDescent="0.2">
      <c r="F39">
        <f t="shared" si="2"/>
        <v>59.99350000000004</v>
      </c>
      <c r="G39">
        <v>-19.62</v>
      </c>
      <c r="H39">
        <v>0</v>
      </c>
      <c r="V39">
        <f t="shared" ref="V39:V44" si="3">$R$2*$S$2+$R$3*$S$3+$R$4*$S$4+$R$5*$S$5+$R$6*$S$6+$R$7*$S$7+$R$8*$S$8+W39*X39</f>
        <v>61.174400000000013</v>
      </c>
      <c r="W39">
        <v>-15.57</v>
      </c>
      <c r="X39">
        <v>-0.05</v>
      </c>
    </row>
    <row r="40" spans="6:24" x14ac:dyDescent="0.2">
      <c r="F40">
        <f t="shared" si="2"/>
        <v>59.012500000000038</v>
      </c>
      <c r="G40">
        <v>-19.62</v>
      </c>
      <c r="H40">
        <v>0.05</v>
      </c>
      <c r="V40">
        <f t="shared" si="3"/>
        <v>60.395900000000012</v>
      </c>
      <c r="W40">
        <v>-15.57</v>
      </c>
      <c r="X40">
        <v>0</v>
      </c>
    </row>
    <row r="41" spans="6:24" x14ac:dyDescent="0.2">
      <c r="F41">
        <f t="shared" si="2"/>
        <v>58.031500000000037</v>
      </c>
      <c r="G41">
        <v>-19.62</v>
      </c>
      <c r="H41">
        <v>0.1</v>
      </c>
      <c r="V41">
        <f t="shared" si="3"/>
        <v>59.617400000000011</v>
      </c>
      <c r="W41">
        <v>-15.57</v>
      </c>
      <c r="X41">
        <v>0.05</v>
      </c>
    </row>
    <row r="42" spans="6:24" x14ac:dyDescent="0.2">
      <c r="F42">
        <f t="shared" si="2"/>
        <v>57.050500000000042</v>
      </c>
      <c r="G42">
        <v>-19.62</v>
      </c>
      <c r="H42">
        <v>0.15</v>
      </c>
      <c r="V42">
        <f t="shared" si="3"/>
        <v>58.83890000000001</v>
      </c>
      <c r="W42">
        <v>-15.57</v>
      </c>
      <c r="X42">
        <v>0.1</v>
      </c>
    </row>
    <row r="43" spans="6:24" x14ac:dyDescent="0.2">
      <c r="F43">
        <f t="shared" si="2"/>
        <v>56.069500000000041</v>
      </c>
      <c r="G43">
        <v>-19.62</v>
      </c>
      <c r="H43">
        <v>0.2</v>
      </c>
      <c r="V43">
        <f t="shared" si="3"/>
        <v>58.060400000000008</v>
      </c>
      <c r="W43">
        <v>-15.57</v>
      </c>
      <c r="X43">
        <v>0.15</v>
      </c>
    </row>
    <row r="44" spans="6:24" x14ac:dyDescent="0.2">
      <c r="V44">
        <f t="shared" si="3"/>
        <v>57.281900000000014</v>
      </c>
      <c r="W44">
        <v>-15.57</v>
      </c>
      <c r="X44">
        <v>0.2</v>
      </c>
    </row>
    <row r="46" spans="6:24" x14ac:dyDescent="0.2">
      <c r="F46" t="s">
        <v>14</v>
      </c>
      <c r="G46" t="s">
        <v>13</v>
      </c>
      <c r="H46" t="s">
        <v>10</v>
      </c>
    </row>
    <row r="47" spans="6:24" x14ac:dyDescent="0.2">
      <c r="F47">
        <f t="shared" ref="F47:F55" si="4">$B$2*$C$2+$B$3*$C$3+$B$4*$C$4+$B$5*$C$5+$B$6*$C$6+$B$7*$C$7+G47*H47+$B$9*$C$9</f>
        <v>51.29230000000004</v>
      </c>
      <c r="G47">
        <v>36</v>
      </c>
      <c r="H47">
        <v>0.3</v>
      </c>
      <c r="V47" t="s">
        <v>14</v>
      </c>
      <c r="W47" t="s">
        <v>13</v>
      </c>
      <c r="X47" t="s">
        <v>10</v>
      </c>
    </row>
    <row r="48" spans="6:24" x14ac:dyDescent="0.2">
      <c r="F48">
        <f t="shared" si="4"/>
        <v>53.092300000000044</v>
      </c>
      <c r="G48">
        <v>36</v>
      </c>
      <c r="H48">
        <v>0.35</v>
      </c>
      <c r="V48">
        <f>$R$2*$S$2+$R$3*$S$3+$R$4*$S$4+$R$5*$S$5+$R$6*$S$6+$R$7*$S$7+W48*X48+$R$9*$S$9</f>
        <v>59.043700000000015</v>
      </c>
      <c r="W48">
        <v>2</v>
      </c>
      <c r="X48">
        <v>0.3</v>
      </c>
    </row>
    <row r="49" spans="6:24" x14ac:dyDescent="0.2">
      <c r="F49">
        <f t="shared" si="4"/>
        <v>54.892300000000041</v>
      </c>
      <c r="G49">
        <v>36</v>
      </c>
      <c r="H49">
        <v>0.4</v>
      </c>
      <c r="V49">
        <f t="shared" ref="V49:V56" si="5">$R$2*$S$2+$R$3*$S$3+$R$4*$S$4+$R$5*$S$5+$R$6*$S$6+$R$7*$S$7+W49*X49+$R$9*$S$9</f>
        <v>59.143700000000017</v>
      </c>
      <c r="W49">
        <v>2</v>
      </c>
      <c r="X49">
        <v>0.35</v>
      </c>
    </row>
    <row r="50" spans="6:24" x14ac:dyDescent="0.2">
      <c r="F50">
        <f t="shared" si="4"/>
        <v>56.692300000000046</v>
      </c>
      <c r="G50">
        <v>36</v>
      </c>
      <c r="H50">
        <v>0.45</v>
      </c>
      <c r="V50">
        <f t="shared" si="5"/>
        <v>59.243700000000011</v>
      </c>
      <c r="W50">
        <v>2</v>
      </c>
      <c r="X50">
        <v>0.4</v>
      </c>
    </row>
    <row r="51" spans="6:24" x14ac:dyDescent="0.2">
      <c r="F51">
        <f t="shared" si="4"/>
        <v>58.492300000000043</v>
      </c>
      <c r="G51">
        <v>36</v>
      </c>
      <c r="H51">
        <v>0.5</v>
      </c>
      <c r="V51">
        <f t="shared" si="5"/>
        <v>59.343700000000013</v>
      </c>
      <c r="W51">
        <v>2</v>
      </c>
      <c r="X51">
        <v>0.45</v>
      </c>
    </row>
    <row r="52" spans="6:24" x14ac:dyDescent="0.2">
      <c r="F52">
        <f t="shared" si="4"/>
        <v>60.29230000000004</v>
      </c>
      <c r="G52">
        <v>36</v>
      </c>
      <c r="H52">
        <v>0.55000000000000004</v>
      </c>
      <c r="V52">
        <f t="shared" si="5"/>
        <v>59.443700000000014</v>
      </c>
      <c r="W52">
        <v>2</v>
      </c>
      <c r="X52">
        <v>0.5</v>
      </c>
    </row>
    <row r="53" spans="6:24" x14ac:dyDescent="0.2">
      <c r="F53">
        <f t="shared" si="4"/>
        <v>62.092300000000037</v>
      </c>
      <c r="G53">
        <v>36</v>
      </c>
      <c r="H53">
        <v>0.6</v>
      </c>
      <c r="V53">
        <f t="shared" si="5"/>
        <v>59.543700000000015</v>
      </c>
      <c r="W53">
        <v>2</v>
      </c>
      <c r="X53">
        <v>0.55000000000000004</v>
      </c>
    </row>
    <row r="54" spans="6:24" x14ac:dyDescent="0.2">
      <c r="F54">
        <f t="shared" si="4"/>
        <v>63.892300000000048</v>
      </c>
      <c r="G54">
        <v>36</v>
      </c>
      <c r="H54">
        <v>0.65</v>
      </c>
      <c r="V54">
        <f t="shared" si="5"/>
        <v>59.643700000000017</v>
      </c>
      <c r="W54">
        <v>2</v>
      </c>
      <c r="X54">
        <v>0.6</v>
      </c>
    </row>
    <row r="55" spans="6:24" x14ac:dyDescent="0.2">
      <c r="F55">
        <f t="shared" si="4"/>
        <v>65.692300000000046</v>
      </c>
      <c r="G55">
        <v>36</v>
      </c>
      <c r="H55">
        <v>0.7</v>
      </c>
      <c r="V55">
        <f t="shared" si="5"/>
        <v>59.743700000000011</v>
      </c>
      <c r="W55">
        <v>2</v>
      </c>
      <c r="X55">
        <v>0.65</v>
      </c>
    </row>
    <row r="56" spans="6:24" x14ac:dyDescent="0.2">
      <c r="V56">
        <f t="shared" si="5"/>
        <v>59.843700000000013</v>
      </c>
      <c r="W56">
        <v>2</v>
      </c>
      <c r="X56">
        <v>0.7</v>
      </c>
    </row>
    <row r="58" spans="6:24" x14ac:dyDescent="0.2">
      <c r="F58" t="s">
        <v>12</v>
      </c>
      <c r="G58" t="s">
        <v>13</v>
      </c>
      <c r="H58" t="s">
        <v>9</v>
      </c>
    </row>
    <row r="59" spans="6:24" x14ac:dyDescent="0.2">
      <c r="F59">
        <f>$B$2*$C$2+$B$3*$C$3+$B$4*$C$4+$B$5*$C$5+$B$6*$C$6+G59*H59+$B$8*$C$8+$B$9*$C$9</f>
        <v>46.824300000000022</v>
      </c>
      <c r="G59">
        <v>149.9</v>
      </c>
      <c r="H59">
        <v>1</v>
      </c>
      <c r="V59" t="s">
        <v>12</v>
      </c>
      <c r="W59" t="s">
        <v>13</v>
      </c>
      <c r="X59" t="s">
        <v>0</v>
      </c>
    </row>
    <row r="60" spans="6:24" x14ac:dyDescent="0.2">
      <c r="F60">
        <f t="shared" ref="F60:F63" si="6">$B$2*$C$2+$B$3*$C$3+$B$4*$C$4+$B$5*$C$5+$B$6*$C$6+G60*H60+$B$8*$C$8+$B$9*$C$9</f>
        <v>54.319300000000027</v>
      </c>
      <c r="G60">
        <v>149.9</v>
      </c>
      <c r="H60">
        <v>1.05</v>
      </c>
      <c r="V60">
        <f>$R$2*$S$2+$R$3*$S$3+$R$4*$S$4+$R$5*$S$5+$R$6*$S$6+W60*X60+$R$8*$S$8+$R$9*$S$9</f>
        <v>82.037700000000029</v>
      </c>
      <c r="W60">
        <v>-282.2</v>
      </c>
      <c r="X60">
        <v>0.6</v>
      </c>
    </row>
    <row r="61" spans="6:24" x14ac:dyDescent="0.2">
      <c r="F61">
        <f t="shared" si="6"/>
        <v>61.814300000000031</v>
      </c>
      <c r="G61">
        <v>149.9</v>
      </c>
      <c r="H61">
        <v>1.1000000000000001</v>
      </c>
      <c r="V61">
        <f t="shared" ref="V61:V62" si="7">$R$2*$S$2+$R$3*$S$3+$R$4*$S$4+$R$5*$S$5+$R$6*$S$6+W61*X61+$R$8*$S$8+$R$9*$S$9</f>
        <v>67.927700000000016</v>
      </c>
      <c r="W61">
        <v>-282.2</v>
      </c>
      <c r="X61">
        <v>0.65</v>
      </c>
    </row>
    <row r="62" spans="6:24" x14ac:dyDescent="0.2">
      <c r="F62">
        <f t="shared" si="6"/>
        <v>69.309300000000007</v>
      </c>
      <c r="G62">
        <v>149.9</v>
      </c>
      <c r="H62">
        <v>1.1499999999999999</v>
      </c>
      <c r="V62">
        <f t="shared" si="7"/>
        <v>53.817700000000038</v>
      </c>
      <c r="W62">
        <v>-282.2</v>
      </c>
      <c r="X62">
        <v>0.7</v>
      </c>
    </row>
    <row r="63" spans="6:24" x14ac:dyDescent="0.2">
      <c r="F63">
        <f t="shared" si="6"/>
        <v>76.804300000000012</v>
      </c>
      <c r="G63">
        <v>149.9</v>
      </c>
      <c r="H63">
        <v>1.2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ZHEHAO</dc:creator>
  <cp:lastModifiedBy>WANG ZHEHAO</cp:lastModifiedBy>
  <dcterms:created xsi:type="dcterms:W3CDTF">2025-09-25T05:22:31Z</dcterms:created>
  <dcterms:modified xsi:type="dcterms:W3CDTF">2025-11-03T04:21:53Z</dcterms:modified>
</cp:coreProperties>
</file>