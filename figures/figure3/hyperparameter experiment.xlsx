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hehao/Documents/GitHub/belief-project/subjective importance/"/>
    </mc:Choice>
  </mc:AlternateContent>
  <xr:revisionPtr revIDLastSave="0" documentId="13_ncr:1_{F3B6AF33-7B3F-254B-951D-6DF38219193E}" xr6:coauthVersionLast="47" xr6:coauthVersionMax="47" xr10:uidLastSave="{00000000-0000-0000-0000-000000000000}"/>
  <bookViews>
    <workbookView xWindow="8360" yWindow="23540" windowWidth="25960" windowHeight="16940" activeTab="2" xr2:uid="{B789B1AE-380D-FD43-A618-24D4AB35CA61}"/>
  </bookViews>
  <sheets>
    <sheet name="experiment-00" sheetId="5" r:id="rId1"/>
    <sheet name="experiment-01" sheetId="3" r:id="rId2"/>
    <sheet name="power balance" sheetId="2" r:id="rId3"/>
    <sheet name="yearl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A5" i="5" s="1"/>
  <c r="C5" i="5"/>
  <c r="D5" i="5"/>
  <c r="U5" i="5"/>
  <c r="T5" i="5" s="1"/>
  <c r="V5" i="5"/>
  <c r="W5" i="5"/>
  <c r="AU5" i="5"/>
  <c r="B6" i="5"/>
  <c r="A6" i="5" s="1"/>
  <c r="C6" i="5"/>
  <c r="D6" i="5"/>
  <c r="U6" i="5"/>
  <c r="T6" i="5" s="1"/>
  <c r="V6" i="5"/>
  <c r="W6" i="5"/>
  <c r="AU6" i="5"/>
  <c r="B7" i="5"/>
  <c r="A7" i="5" s="1"/>
  <c r="C7" i="5"/>
  <c r="D7" i="5"/>
  <c r="U7" i="5"/>
  <c r="AV7" i="5" s="1"/>
  <c r="V7" i="5"/>
  <c r="W7" i="5"/>
  <c r="AU7" i="5"/>
  <c r="B8" i="5"/>
  <c r="A8" i="5" s="1"/>
  <c r="C8" i="5"/>
  <c r="D8" i="5"/>
  <c r="U8" i="5"/>
  <c r="T8" i="5" s="1"/>
  <c r="V8" i="5"/>
  <c r="W8" i="5"/>
  <c r="AU8" i="5"/>
  <c r="B9" i="5"/>
  <c r="A9" i="5" s="1"/>
  <c r="C9" i="5"/>
  <c r="D9" i="5"/>
  <c r="U9" i="5"/>
  <c r="T9" i="5" s="1"/>
  <c r="V9" i="5"/>
  <c r="W9" i="5"/>
  <c r="AU9" i="5"/>
  <c r="B10" i="5"/>
  <c r="A10" i="5" s="1"/>
  <c r="C10" i="5"/>
  <c r="D10" i="5"/>
  <c r="U10" i="5"/>
  <c r="T10" i="5" s="1"/>
  <c r="V10" i="5"/>
  <c r="W10" i="5"/>
  <c r="AU10" i="5"/>
  <c r="B11" i="5"/>
  <c r="A11" i="5" s="1"/>
  <c r="C11" i="5"/>
  <c r="D11" i="5"/>
  <c r="U11" i="5"/>
  <c r="T11" i="5" s="1"/>
  <c r="V11" i="5"/>
  <c r="W11" i="5"/>
  <c r="AU11" i="5"/>
  <c r="B12" i="5"/>
  <c r="A12" i="5" s="1"/>
  <c r="C12" i="5"/>
  <c r="D12" i="5"/>
  <c r="U12" i="5"/>
  <c r="T12" i="5" s="1"/>
  <c r="V12" i="5"/>
  <c r="W12" i="5"/>
  <c r="AU12" i="5"/>
  <c r="B13" i="5"/>
  <c r="A13" i="5" s="1"/>
  <c r="C13" i="5"/>
  <c r="D13" i="5"/>
  <c r="U13" i="5"/>
  <c r="T13" i="5" s="1"/>
  <c r="V13" i="5"/>
  <c r="W13" i="5"/>
  <c r="AU13" i="5"/>
  <c r="B14" i="5"/>
  <c r="A14" i="5" s="1"/>
  <c r="C14" i="5"/>
  <c r="D14" i="5"/>
  <c r="U14" i="5"/>
  <c r="T14" i="5" s="1"/>
  <c r="V14" i="5"/>
  <c r="W14" i="5"/>
  <c r="AU14" i="5"/>
  <c r="B15" i="5"/>
  <c r="A15" i="5" s="1"/>
  <c r="C15" i="5"/>
  <c r="D15" i="5"/>
  <c r="U15" i="5"/>
  <c r="T15" i="5" s="1"/>
  <c r="V15" i="5"/>
  <c r="W15" i="5"/>
  <c r="AU15" i="5"/>
  <c r="B16" i="5"/>
  <c r="A16" i="5" s="1"/>
  <c r="C16" i="5"/>
  <c r="D16" i="5"/>
  <c r="U16" i="5"/>
  <c r="T16" i="5" s="1"/>
  <c r="V16" i="5"/>
  <c r="W16" i="5"/>
  <c r="AU16" i="5"/>
  <c r="B17" i="5"/>
  <c r="A17" i="5" s="1"/>
  <c r="C17" i="5"/>
  <c r="D17" i="5"/>
  <c r="U17" i="5"/>
  <c r="AV17" i="5" s="1"/>
  <c r="V17" i="5"/>
  <c r="W17" i="5"/>
  <c r="AU17" i="5"/>
  <c r="B18" i="5"/>
  <c r="A18" i="5" s="1"/>
  <c r="C18" i="5"/>
  <c r="D18" i="5"/>
  <c r="U18" i="5"/>
  <c r="T18" i="5" s="1"/>
  <c r="V18" i="5"/>
  <c r="W18" i="5"/>
  <c r="AU18" i="5"/>
  <c r="B19" i="5"/>
  <c r="A19" i="5" s="1"/>
  <c r="C19" i="5"/>
  <c r="D19" i="5"/>
  <c r="U19" i="5"/>
  <c r="T19" i="5" s="1"/>
  <c r="V19" i="5"/>
  <c r="W19" i="5"/>
  <c r="AU19" i="5"/>
  <c r="B20" i="5"/>
  <c r="A20" i="5" s="1"/>
  <c r="C20" i="5"/>
  <c r="D20" i="5"/>
  <c r="U20" i="5"/>
  <c r="T20" i="5" s="1"/>
  <c r="V20" i="5"/>
  <c r="W20" i="5"/>
  <c r="AU20" i="5"/>
  <c r="B21" i="5"/>
  <c r="A21" i="5" s="1"/>
  <c r="C21" i="5"/>
  <c r="D21" i="5"/>
  <c r="U21" i="5"/>
  <c r="T21" i="5" s="1"/>
  <c r="V21" i="5"/>
  <c r="W21" i="5"/>
  <c r="AU21" i="5"/>
  <c r="B22" i="5"/>
  <c r="A22" i="5" s="1"/>
  <c r="C22" i="5"/>
  <c r="D22" i="5"/>
  <c r="U22" i="5"/>
  <c r="AV22" i="5" s="1"/>
  <c r="V22" i="5"/>
  <c r="W22" i="5"/>
  <c r="AU22" i="5"/>
  <c r="B23" i="5"/>
  <c r="A23" i="5" s="1"/>
  <c r="C23" i="5"/>
  <c r="D23" i="5"/>
  <c r="U23" i="5"/>
  <c r="T23" i="5" s="1"/>
  <c r="V23" i="5"/>
  <c r="W23" i="5"/>
  <c r="AU23" i="5"/>
  <c r="B24" i="5"/>
  <c r="A24" i="5" s="1"/>
  <c r="C24" i="5"/>
  <c r="D24" i="5"/>
  <c r="U24" i="5"/>
  <c r="T24" i="5" s="1"/>
  <c r="V24" i="5"/>
  <c r="W24" i="5"/>
  <c r="A25" i="5"/>
  <c r="B25" i="5"/>
  <c r="C25" i="5"/>
  <c r="D25" i="5"/>
  <c r="U25" i="5"/>
  <c r="T25" i="5" s="1"/>
  <c r="V25" i="5"/>
  <c r="W25" i="5"/>
  <c r="B26" i="5"/>
  <c r="A26" i="5" s="1"/>
  <c r="C26" i="5"/>
  <c r="D26" i="5"/>
  <c r="U26" i="5"/>
  <c r="T26" i="5" s="1"/>
  <c r="V26" i="5"/>
  <c r="W26" i="5"/>
  <c r="B27" i="5"/>
  <c r="A27" i="5" s="1"/>
  <c r="C27" i="5"/>
  <c r="D27" i="5"/>
  <c r="T27" i="5"/>
  <c r="U27" i="5"/>
  <c r="V27" i="5"/>
  <c r="W27" i="5"/>
  <c r="B31" i="5"/>
  <c r="AU31" i="5" s="1"/>
  <c r="C31" i="5"/>
  <c r="D31" i="5"/>
  <c r="U31" i="5"/>
  <c r="AV31" i="5" s="1"/>
  <c r="V31" i="5"/>
  <c r="W31" i="5"/>
  <c r="B32" i="5"/>
  <c r="AU32" i="5" s="1"/>
  <c r="C32" i="5"/>
  <c r="D32" i="5"/>
  <c r="U32" i="5"/>
  <c r="AV32" i="5" s="1"/>
  <c r="V32" i="5"/>
  <c r="W32" i="5"/>
  <c r="B33" i="5"/>
  <c r="AU33" i="5" s="1"/>
  <c r="C33" i="5"/>
  <c r="D33" i="5"/>
  <c r="U33" i="5"/>
  <c r="AV33" i="5" s="1"/>
  <c r="V33" i="5"/>
  <c r="W33" i="5"/>
  <c r="B34" i="5"/>
  <c r="AU34" i="5" s="1"/>
  <c r="C34" i="5"/>
  <c r="D34" i="5"/>
  <c r="U34" i="5"/>
  <c r="T34" i="5" s="1"/>
  <c r="V34" i="5"/>
  <c r="W34" i="5"/>
  <c r="B35" i="5"/>
  <c r="AU35" i="5" s="1"/>
  <c r="C35" i="5"/>
  <c r="D35" i="5"/>
  <c r="U35" i="5"/>
  <c r="AV35" i="5" s="1"/>
  <c r="V35" i="5"/>
  <c r="W35" i="5"/>
  <c r="B36" i="5"/>
  <c r="AU36" i="5" s="1"/>
  <c r="C36" i="5"/>
  <c r="D36" i="5"/>
  <c r="U36" i="5"/>
  <c r="T36" i="5" s="1"/>
  <c r="V36" i="5"/>
  <c r="W36" i="5"/>
  <c r="B37" i="5"/>
  <c r="AU37" i="5" s="1"/>
  <c r="C37" i="5"/>
  <c r="D37" i="5"/>
  <c r="U37" i="5"/>
  <c r="AV37" i="5" s="1"/>
  <c r="V37" i="5"/>
  <c r="W37" i="5"/>
  <c r="B38" i="5"/>
  <c r="AU38" i="5" s="1"/>
  <c r="C38" i="5"/>
  <c r="D38" i="5"/>
  <c r="U38" i="5"/>
  <c r="T38" i="5" s="1"/>
  <c r="V38" i="5"/>
  <c r="W38" i="5"/>
  <c r="B39" i="5"/>
  <c r="AU39" i="5" s="1"/>
  <c r="C39" i="5"/>
  <c r="D39" i="5"/>
  <c r="U39" i="5"/>
  <c r="AV39" i="5" s="1"/>
  <c r="V39" i="5"/>
  <c r="W39" i="5"/>
  <c r="B40" i="5"/>
  <c r="AU40" i="5" s="1"/>
  <c r="C40" i="5"/>
  <c r="D40" i="5"/>
  <c r="U40" i="5"/>
  <c r="T40" i="5" s="1"/>
  <c r="V40" i="5"/>
  <c r="W40" i="5"/>
  <c r="B41" i="5"/>
  <c r="AU41" i="5" s="1"/>
  <c r="C41" i="5"/>
  <c r="D41" i="5"/>
  <c r="U41" i="5"/>
  <c r="AV41" i="5" s="1"/>
  <c r="V41" i="5"/>
  <c r="W41" i="5"/>
  <c r="B42" i="5"/>
  <c r="AU42" i="5" s="1"/>
  <c r="C42" i="5"/>
  <c r="D42" i="5"/>
  <c r="U42" i="5"/>
  <c r="AV42" i="5" s="1"/>
  <c r="V42" i="5"/>
  <c r="W42" i="5"/>
  <c r="B43" i="5"/>
  <c r="AU43" i="5" s="1"/>
  <c r="C43" i="5"/>
  <c r="D43" i="5"/>
  <c r="U43" i="5"/>
  <c r="AV43" i="5" s="1"/>
  <c r="V43" i="5"/>
  <c r="W43" i="5"/>
  <c r="B44" i="5"/>
  <c r="AU44" i="5" s="1"/>
  <c r="C44" i="5"/>
  <c r="D44" i="5"/>
  <c r="U44" i="5"/>
  <c r="T44" i="5" s="1"/>
  <c r="V44" i="5"/>
  <c r="W44" i="5"/>
  <c r="B45" i="5"/>
  <c r="AU45" i="5" s="1"/>
  <c r="C45" i="5"/>
  <c r="D45" i="5"/>
  <c r="U45" i="5"/>
  <c r="AV45" i="5" s="1"/>
  <c r="V45" i="5"/>
  <c r="W45" i="5"/>
  <c r="B46" i="5"/>
  <c r="AU46" i="5" s="1"/>
  <c r="C46" i="5"/>
  <c r="D46" i="5"/>
  <c r="U46" i="5"/>
  <c r="AV46" i="5" s="1"/>
  <c r="V46" i="5"/>
  <c r="W46" i="5"/>
  <c r="B47" i="5"/>
  <c r="AU47" i="5" s="1"/>
  <c r="C47" i="5"/>
  <c r="D47" i="5"/>
  <c r="U47" i="5"/>
  <c r="AV47" i="5" s="1"/>
  <c r="V47" i="5"/>
  <c r="W47" i="5"/>
  <c r="B48" i="5"/>
  <c r="AU48" i="5" s="1"/>
  <c r="C48" i="5"/>
  <c r="D48" i="5"/>
  <c r="U48" i="5"/>
  <c r="T48" i="5" s="1"/>
  <c r="V48" i="5"/>
  <c r="W48" i="5"/>
  <c r="B49" i="5"/>
  <c r="AU49" i="5" s="1"/>
  <c r="C49" i="5"/>
  <c r="D49" i="5"/>
  <c r="U49" i="5"/>
  <c r="AV49" i="5" s="1"/>
  <c r="V49" i="5"/>
  <c r="W49" i="5"/>
  <c r="B50" i="5"/>
  <c r="A50" i="5" s="1"/>
  <c r="C50" i="5"/>
  <c r="D50" i="5"/>
  <c r="U50" i="5"/>
  <c r="T50" i="5" s="1"/>
  <c r="V50" i="5"/>
  <c r="W50" i="5"/>
  <c r="B51" i="5"/>
  <c r="A51" i="5" s="1"/>
  <c r="C51" i="5"/>
  <c r="D51" i="5"/>
  <c r="U51" i="5"/>
  <c r="T51" i="5" s="1"/>
  <c r="V51" i="5"/>
  <c r="W51" i="5"/>
  <c r="A52" i="5"/>
  <c r="B52" i="5"/>
  <c r="C52" i="5"/>
  <c r="D52" i="5"/>
  <c r="U52" i="5"/>
  <c r="T52" i="5" s="1"/>
  <c r="V52" i="5"/>
  <c r="W52" i="5"/>
  <c r="B53" i="5"/>
  <c r="A53" i="5" s="1"/>
  <c r="C53" i="5"/>
  <c r="D53" i="5"/>
  <c r="U53" i="5"/>
  <c r="T53" i="5" s="1"/>
  <c r="V53" i="5"/>
  <c r="W53" i="5"/>
  <c r="B57" i="5"/>
  <c r="A57" i="5" s="1"/>
  <c r="C57" i="5"/>
  <c r="D57" i="5"/>
  <c r="T57" i="5"/>
  <c r="U57" i="5"/>
  <c r="V57" i="5"/>
  <c r="W57" i="5"/>
  <c r="B58" i="5"/>
  <c r="A58" i="5" s="1"/>
  <c r="C58" i="5"/>
  <c r="D58" i="5"/>
  <c r="U58" i="5"/>
  <c r="T58" i="5" s="1"/>
  <c r="V58" i="5"/>
  <c r="W58" i="5"/>
  <c r="B59" i="5"/>
  <c r="A59" i="5" s="1"/>
  <c r="C59" i="5"/>
  <c r="D59" i="5"/>
  <c r="U59" i="5"/>
  <c r="T59" i="5" s="1"/>
  <c r="V59" i="5"/>
  <c r="W59" i="5"/>
  <c r="A60" i="5"/>
  <c r="B60" i="5"/>
  <c r="C60" i="5"/>
  <c r="D60" i="5"/>
  <c r="U60" i="5"/>
  <c r="T60" i="5" s="1"/>
  <c r="V60" i="5"/>
  <c r="W60" i="5"/>
  <c r="B61" i="5"/>
  <c r="A61" i="5" s="1"/>
  <c r="C61" i="5"/>
  <c r="D61" i="5"/>
  <c r="U61" i="5"/>
  <c r="T61" i="5" s="1"/>
  <c r="V61" i="5"/>
  <c r="W61" i="5"/>
  <c r="B62" i="5"/>
  <c r="A62" i="5" s="1"/>
  <c r="C62" i="5"/>
  <c r="D62" i="5"/>
  <c r="T62" i="5"/>
  <c r="U62" i="5"/>
  <c r="V62" i="5"/>
  <c r="W62" i="5"/>
  <c r="B63" i="5"/>
  <c r="A63" i="5" s="1"/>
  <c r="C63" i="5"/>
  <c r="D63" i="5"/>
  <c r="U63" i="5"/>
  <c r="T63" i="5" s="1"/>
  <c r="V63" i="5"/>
  <c r="W63" i="5"/>
  <c r="B64" i="5"/>
  <c r="A64" i="5" s="1"/>
  <c r="C64" i="5"/>
  <c r="D64" i="5"/>
  <c r="U64" i="5"/>
  <c r="T64" i="5" s="1"/>
  <c r="V64" i="5"/>
  <c r="W64" i="5"/>
  <c r="A65" i="5"/>
  <c r="B65" i="5"/>
  <c r="C65" i="5"/>
  <c r="D65" i="5"/>
  <c r="U65" i="5"/>
  <c r="T65" i="5" s="1"/>
  <c r="V65" i="5"/>
  <c r="W65" i="5"/>
  <c r="B66" i="5"/>
  <c r="A66" i="5" s="1"/>
  <c r="C66" i="5"/>
  <c r="D66" i="5"/>
  <c r="U66" i="5"/>
  <c r="T66" i="5" s="1"/>
  <c r="V66" i="5"/>
  <c r="W66" i="5"/>
  <c r="B67" i="5"/>
  <c r="A67" i="5" s="1"/>
  <c r="C67" i="5"/>
  <c r="D67" i="5"/>
  <c r="T67" i="5"/>
  <c r="U67" i="5"/>
  <c r="V67" i="5"/>
  <c r="W67" i="5"/>
  <c r="B68" i="5"/>
  <c r="A68" i="5" s="1"/>
  <c r="C68" i="5"/>
  <c r="D68" i="5"/>
  <c r="U68" i="5"/>
  <c r="T68" i="5" s="1"/>
  <c r="V68" i="5"/>
  <c r="W68" i="5"/>
  <c r="B69" i="5"/>
  <c r="A69" i="5" s="1"/>
  <c r="C69" i="5"/>
  <c r="D69" i="5"/>
  <c r="U69" i="5"/>
  <c r="T69" i="5" s="1"/>
  <c r="V69" i="5"/>
  <c r="W69" i="5"/>
  <c r="A70" i="5"/>
  <c r="B70" i="5"/>
  <c r="C70" i="5"/>
  <c r="D70" i="5"/>
  <c r="U70" i="5"/>
  <c r="T70" i="5" s="1"/>
  <c r="V70" i="5"/>
  <c r="W70" i="5"/>
  <c r="B71" i="5"/>
  <c r="A71" i="5" s="1"/>
  <c r="C71" i="5"/>
  <c r="D71" i="5"/>
  <c r="U71" i="5"/>
  <c r="T71" i="5" s="1"/>
  <c r="V71" i="5"/>
  <c r="W71" i="5"/>
  <c r="B72" i="5"/>
  <c r="A72" i="5" s="1"/>
  <c r="C72" i="5"/>
  <c r="D72" i="5"/>
  <c r="T72" i="5"/>
  <c r="U72" i="5"/>
  <c r="V72" i="5"/>
  <c r="W72" i="5"/>
  <c r="B73" i="5"/>
  <c r="A73" i="5" s="1"/>
  <c r="C73" i="5"/>
  <c r="D73" i="5"/>
  <c r="U73" i="5"/>
  <c r="T73" i="5" s="1"/>
  <c r="V73" i="5"/>
  <c r="W73" i="5"/>
  <c r="B74" i="5"/>
  <c r="A74" i="5" s="1"/>
  <c r="C74" i="5"/>
  <c r="D74" i="5"/>
  <c r="U74" i="5"/>
  <c r="T74" i="5" s="1"/>
  <c r="V74" i="5"/>
  <c r="W74" i="5"/>
  <c r="A75" i="5"/>
  <c r="B75" i="5"/>
  <c r="C75" i="5"/>
  <c r="D75" i="5"/>
  <c r="U75" i="5"/>
  <c r="T75" i="5" s="1"/>
  <c r="V75" i="5"/>
  <c r="W75" i="5"/>
  <c r="B76" i="5"/>
  <c r="A76" i="5" s="1"/>
  <c r="C76" i="5"/>
  <c r="D76" i="5"/>
  <c r="U76" i="5"/>
  <c r="T76" i="5" s="1"/>
  <c r="V76" i="5"/>
  <c r="W76" i="5"/>
  <c r="B77" i="5"/>
  <c r="A77" i="5" s="1"/>
  <c r="C77" i="5"/>
  <c r="D77" i="5"/>
  <c r="T77" i="5"/>
  <c r="U77" i="5"/>
  <c r="V77" i="5"/>
  <c r="W77" i="5"/>
  <c r="B81" i="5"/>
  <c r="A81" i="5" s="1"/>
  <c r="C81" i="5"/>
  <c r="D81" i="5"/>
  <c r="U81" i="5"/>
  <c r="T81" i="5" s="1"/>
  <c r="V81" i="5"/>
  <c r="W81" i="5"/>
  <c r="B82" i="5"/>
  <c r="A82" i="5" s="1"/>
  <c r="C82" i="5"/>
  <c r="D82" i="5"/>
  <c r="U82" i="5"/>
  <c r="T82" i="5" s="1"/>
  <c r="V82" i="5"/>
  <c r="W82" i="5"/>
  <c r="A83" i="5"/>
  <c r="B83" i="5"/>
  <c r="C83" i="5"/>
  <c r="D83" i="5"/>
  <c r="U83" i="5"/>
  <c r="T83" i="5" s="1"/>
  <c r="V83" i="5"/>
  <c r="W83" i="5"/>
  <c r="B84" i="5"/>
  <c r="A84" i="5" s="1"/>
  <c r="C84" i="5"/>
  <c r="D84" i="5"/>
  <c r="U84" i="5"/>
  <c r="T84" i="5" s="1"/>
  <c r="V84" i="5"/>
  <c r="W84" i="5"/>
  <c r="B85" i="5"/>
  <c r="A85" i="5" s="1"/>
  <c r="C85" i="5"/>
  <c r="D85" i="5"/>
  <c r="T85" i="5"/>
  <c r="U85" i="5"/>
  <c r="V85" i="5"/>
  <c r="W85" i="5"/>
  <c r="B86" i="5"/>
  <c r="A86" i="5" s="1"/>
  <c r="C86" i="5"/>
  <c r="D86" i="5"/>
  <c r="U86" i="5"/>
  <c r="T86" i="5" s="1"/>
  <c r="V86" i="5"/>
  <c r="W86" i="5"/>
  <c r="B87" i="5"/>
  <c r="A87" i="5" s="1"/>
  <c r="C87" i="5"/>
  <c r="D87" i="5"/>
  <c r="U87" i="5"/>
  <c r="T87" i="5" s="1"/>
  <c r="V87" i="5"/>
  <c r="W87" i="5"/>
  <c r="A88" i="5"/>
  <c r="B88" i="5"/>
  <c r="C88" i="5"/>
  <c r="D88" i="5"/>
  <c r="U88" i="5"/>
  <c r="T88" i="5" s="1"/>
  <c r="V88" i="5"/>
  <c r="W88" i="5"/>
  <c r="B89" i="5"/>
  <c r="A89" i="5" s="1"/>
  <c r="C89" i="5"/>
  <c r="D89" i="5"/>
  <c r="U89" i="5"/>
  <c r="T89" i="5" s="1"/>
  <c r="V89" i="5"/>
  <c r="W89" i="5"/>
  <c r="B90" i="5"/>
  <c r="A90" i="5" s="1"/>
  <c r="C90" i="5"/>
  <c r="D90" i="5"/>
  <c r="T90" i="5"/>
  <c r="U90" i="5"/>
  <c r="V90" i="5"/>
  <c r="W90" i="5"/>
  <c r="B91" i="5"/>
  <c r="A91" i="5" s="1"/>
  <c r="C91" i="5"/>
  <c r="D91" i="5"/>
  <c r="U91" i="5"/>
  <c r="T91" i="5" s="1"/>
  <c r="V91" i="5"/>
  <c r="W91" i="5"/>
  <c r="B92" i="5"/>
  <c r="A92" i="5" s="1"/>
  <c r="C92" i="5"/>
  <c r="D92" i="5"/>
  <c r="U92" i="5"/>
  <c r="T92" i="5" s="1"/>
  <c r="V92" i="5"/>
  <c r="W92" i="5"/>
  <c r="A93" i="5"/>
  <c r="B93" i="5"/>
  <c r="C93" i="5"/>
  <c r="D93" i="5"/>
  <c r="U93" i="5"/>
  <c r="T93" i="5" s="1"/>
  <c r="V93" i="5"/>
  <c r="W93" i="5"/>
  <c r="B94" i="5"/>
  <c r="A94" i="5" s="1"/>
  <c r="C94" i="5"/>
  <c r="D94" i="5"/>
  <c r="U94" i="5"/>
  <c r="T94" i="5" s="1"/>
  <c r="V94" i="5"/>
  <c r="W94" i="5"/>
  <c r="B95" i="5"/>
  <c r="A95" i="5" s="1"/>
  <c r="C95" i="5"/>
  <c r="D95" i="5"/>
  <c r="T95" i="5"/>
  <c r="U95" i="5"/>
  <c r="V95" i="5"/>
  <c r="W95" i="5"/>
  <c r="B96" i="5"/>
  <c r="A96" i="5" s="1"/>
  <c r="C96" i="5"/>
  <c r="D96" i="5"/>
  <c r="U96" i="5"/>
  <c r="T96" i="5" s="1"/>
  <c r="V96" i="5"/>
  <c r="W96" i="5"/>
  <c r="B97" i="5"/>
  <c r="A97" i="5" s="1"/>
  <c r="C97" i="5"/>
  <c r="D97" i="5"/>
  <c r="U97" i="5"/>
  <c r="T97" i="5" s="1"/>
  <c r="V97" i="5"/>
  <c r="W97" i="5"/>
  <c r="A98" i="5"/>
  <c r="B98" i="5"/>
  <c r="C98" i="5"/>
  <c r="D98" i="5"/>
  <c r="U98" i="5"/>
  <c r="T98" i="5" s="1"/>
  <c r="V98" i="5"/>
  <c r="W98" i="5"/>
  <c r="B99" i="5"/>
  <c r="A99" i="5" s="1"/>
  <c r="C99" i="5"/>
  <c r="D99" i="5"/>
  <c r="U99" i="5"/>
  <c r="T99" i="5" s="1"/>
  <c r="V99" i="5"/>
  <c r="W99" i="5"/>
  <c r="B100" i="5"/>
  <c r="A100" i="5" s="1"/>
  <c r="C100" i="5"/>
  <c r="D100" i="5"/>
  <c r="T100" i="5"/>
  <c r="U100" i="5"/>
  <c r="V100" i="5"/>
  <c r="W100" i="5"/>
  <c r="B101" i="5"/>
  <c r="A101" i="5" s="1"/>
  <c r="C101" i="5"/>
  <c r="D101" i="5"/>
  <c r="U101" i="5"/>
  <c r="T101" i="5" s="1"/>
  <c r="V101" i="5"/>
  <c r="W101" i="5"/>
  <c r="T49" i="5" l="1"/>
  <c r="T43" i="5"/>
  <c r="T37" i="5"/>
  <c r="T32" i="5"/>
  <c r="T22" i="5"/>
  <c r="T17" i="5"/>
  <c r="T7" i="5"/>
  <c r="AV23" i="5"/>
  <c r="AV21" i="5"/>
  <c r="AV20" i="5"/>
  <c r="AV19" i="5"/>
  <c r="AV18" i="5"/>
  <c r="AV16" i="5"/>
  <c r="AV15" i="5"/>
  <c r="AV14" i="5"/>
  <c r="AV13" i="5"/>
  <c r="AV12" i="5"/>
  <c r="AV11" i="5"/>
  <c r="AV10" i="5"/>
  <c r="AV9" i="5"/>
  <c r="AV8" i="5"/>
  <c r="AV6" i="5"/>
  <c r="AV5" i="5"/>
  <c r="T46" i="5"/>
  <c r="T45" i="5"/>
  <c r="T41" i="5"/>
  <c r="T35" i="5"/>
  <c r="T31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T47" i="5"/>
  <c r="T42" i="5"/>
  <c r="T39" i="5"/>
  <c r="T33" i="5"/>
  <c r="AV48" i="5"/>
  <c r="AV44" i="5"/>
  <c r="AV40" i="5"/>
  <c r="AV38" i="5"/>
  <c r="AV36" i="5"/>
  <c r="AV34" i="5"/>
  <c r="K67" i="4"/>
  <c r="L67" i="4"/>
  <c r="M67" i="4"/>
  <c r="N67" i="4"/>
  <c r="O67" i="4"/>
  <c r="P67" i="4"/>
  <c r="Q67" i="4"/>
  <c r="R67" i="4"/>
  <c r="K68" i="4"/>
  <c r="L68" i="4"/>
  <c r="M68" i="4"/>
  <c r="N68" i="4"/>
  <c r="O68" i="4"/>
  <c r="P68" i="4"/>
  <c r="Q68" i="4"/>
  <c r="R68" i="4"/>
  <c r="V68" i="4"/>
  <c r="K69" i="4"/>
  <c r="L69" i="4"/>
  <c r="M69" i="4"/>
  <c r="N69" i="4"/>
  <c r="O69" i="4"/>
  <c r="P69" i="4"/>
  <c r="Q69" i="4"/>
  <c r="R69" i="4"/>
  <c r="V69" i="4"/>
  <c r="K70" i="4"/>
  <c r="L70" i="4"/>
  <c r="U70" i="4" s="1"/>
  <c r="W70" i="4" s="1"/>
  <c r="M70" i="4"/>
  <c r="N70" i="4"/>
  <c r="O70" i="4"/>
  <c r="P70" i="4"/>
  <c r="V70" i="4" s="1"/>
  <c r="Q70" i="4"/>
  <c r="R70" i="4"/>
  <c r="K71" i="4"/>
  <c r="L71" i="4"/>
  <c r="U71" i="4" s="1"/>
  <c r="M71" i="4"/>
  <c r="N71" i="4"/>
  <c r="O71" i="4"/>
  <c r="P71" i="4"/>
  <c r="V71" i="4" s="1"/>
  <c r="Q71" i="4"/>
  <c r="R71" i="4"/>
  <c r="K72" i="4"/>
  <c r="L72" i="4"/>
  <c r="M72" i="4"/>
  <c r="N72" i="4"/>
  <c r="O72" i="4"/>
  <c r="Y72" i="4" s="1"/>
  <c r="P72" i="4"/>
  <c r="Q72" i="4"/>
  <c r="R72" i="4"/>
  <c r="V72" i="4"/>
  <c r="K73" i="4"/>
  <c r="L73" i="4"/>
  <c r="M73" i="4"/>
  <c r="N73" i="4"/>
  <c r="U73" i="4" s="1"/>
  <c r="W73" i="4" s="1"/>
  <c r="O73" i="4"/>
  <c r="P73" i="4"/>
  <c r="V73" i="4" s="1"/>
  <c r="X73" i="4" s="1"/>
  <c r="Q73" i="4"/>
  <c r="R73" i="4"/>
  <c r="K74" i="4"/>
  <c r="L74" i="4"/>
  <c r="M74" i="4"/>
  <c r="N74" i="4"/>
  <c r="U74" i="4" s="1"/>
  <c r="W74" i="4" s="1"/>
  <c r="O74" i="4"/>
  <c r="P74" i="4"/>
  <c r="Q74" i="4"/>
  <c r="R74" i="4"/>
  <c r="K75" i="4"/>
  <c r="L75" i="4"/>
  <c r="M75" i="4"/>
  <c r="N75" i="4"/>
  <c r="O75" i="4"/>
  <c r="P75" i="4"/>
  <c r="V75" i="4" s="1"/>
  <c r="Q75" i="4"/>
  <c r="R75" i="4"/>
  <c r="K76" i="4"/>
  <c r="L76" i="4"/>
  <c r="M76" i="4"/>
  <c r="N76" i="4"/>
  <c r="U76" i="4" s="1"/>
  <c r="W76" i="4" s="1"/>
  <c r="O76" i="4"/>
  <c r="P76" i="4"/>
  <c r="V76" i="4" s="1"/>
  <c r="Y76" i="4" s="1"/>
  <c r="Q76" i="4"/>
  <c r="R76" i="4"/>
  <c r="K77" i="4"/>
  <c r="L77" i="4"/>
  <c r="M77" i="4"/>
  <c r="N77" i="4"/>
  <c r="U77" i="4" s="1"/>
  <c r="W77" i="4" s="1"/>
  <c r="O77" i="4"/>
  <c r="P77" i="4"/>
  <c r="V77" i="4" s="1"/>
  <c r="X77" i="4" s="1"/>
  <c r="Q77" i="4"/>
  <c r="R77" i="4"/>
  <c r="K78" i="4"/>
  <c r="L78" i="4"/>
  <c r="U78" i="4" s="1"/>
  <c r="M78" i="4"/>
  <c r="N78" i="4"/>
  <c r="O78" i="4"/>
  <c r="P78" i="4"/>
  <c r="V78" i="4" s="1"/>
  <c r="Q78" i="4"/>
  <c r="R78" i="4"/>
  <c r="K79" i="4"/>
  <c r="L79" i="4"/>
  <c r="U79" i="4" s="1"/>
  <c r="M79" i="4"/>
  <c r="N79" i="4"/>
  <c r="O79" i="4"/>
  <c r="P79" i="4"/>
  <c r="Q79" i="4"/>
  <c r="R79" i="4"/>
  <c r="V79" i="4" s="1"/>
  <c r="Y79" i="4" s="1"/>
  <c r="K80" i="4"/>
  <c r="L80" i="4"/>
  <c r="M80" i="4"/>
  <c r="N80" i="4"/>
  <c r="O80" i="4"/>
  <c r="P80" i="4"/>
  <c r="Q80" i="4"/>
  <c r="R80" i="4"/>
  <c r="U80" i="4"/>
  <c r="W80" i="4" s="1"/>
  <c r="K81" i="4"/>
  <c r="L81" i="4"/>
  <c r="M81" i="4"/>
  <c r="N81" i="4"/>
  <c r="O81" i="4"/>
  <c r="P81" i="4"/>
  <c r="Q81" i="4"/>
  <c r="R81" i="4"/>
  <c r="K82" i="4"/>
  <c r="L82" i="4"/>
  <c r="U82" i="4" s="1"/>
  <c r="M82" i="4"/>
  <c r="N82" i="4"/>
  <c r="O82" i="4"/>
  <c r="P82" i="4"/>
  <c r="V82" i="4" s="1"/>
  <c r="Y82" i="4" s="1"/>
  <c r="Q82" i="4"/>
  <c r="R82" i="4"/>
  <c r="K83" i="4"/>
  <c r="L83" i="4"/>
  <c r="U83" i="4" s="1"/>
  <c r="W83" i="4" s="1"/>
  <c r="M83" i="4"/>
  <c r="N83" i="4"/>
  <c r="O83" i="4"/>
  <c r="P83" i="4"/>
  <c r="V83" i="4" s="1"/>
  <c r="Q83" i="4"/>
  <c r="R83" i="4"/>
  <c r="K84" i="4"/>
  <c r="L84" i="4"/>
  <c r="M84" i="4"/>
  <c r="N84" i="4"/>
  <c r="O84" i="4"/>
  <c r="P84" i="4"/>
  <c r="V84" i="4" s="1"/>
  <c r="Q84" i="4"/>
  <c r="R84" i="4"/>
  <c r="R66" i="4"/>
  <c r="Q66" i="4"/>
  <c r="P66" i="4"/>
  <c r="V66" i="4" s="1"/>
  <c r="O66" i="4"/>
  <c r="N66" i="4"/>
  <c r="M66" i="4"/>
  <c r="L66" i="4"/>
  <c r="U66" i="4" s="1"/>
  <c r="K66" i="4"/>
  <c r="K47" i="4"/>
  <c r="L47" i="4"/>
  <c r="M47" i="4"/>
  <c r="U47" i="4" s="1"/>
  <c r="N47" i="4"/>
  <c r="O47" i="4"/>
  <c r="P47" i="4"/>
  <c r="Q47" i="4"/>
  <c r="R47" i="4"/>
  <c r="K48" i="4"/>
  <c r="L48" i="4"/>
  <c r="M48" i="4"/>
  <c r="N48" i="4"/>
  <c r="O48" i="4"/>
  <c r="P48" i="4"/>
  <c r="Q48" i="4"/>
  <c r="V48" i="4" s="1"/>
  <c r="R48" i="4"/>
  <c r="K49" i="4"/>
  <c r="L49" i="4"/>
  <c r="M49" i="4"/>
  <c r="N49" i="4"/>
  <c r="O49" i="4"/>
  <c r="P49" i="4"/>
  <c r="Q49" i="4"/>
  <c r="R49" i="4"/>
  <c r="V49" i="4"/>
  <c r="K50" i="4"/>
  <c r="L50" i="4"/>
  <c r="U50" i="4" s="1"/>
  <c r="W50" i="4" s="1"/>
  <c r="M50" i="4"/>
  <c r="N50" i="4"/>
  <c r="O50" i="4"/>
  <c r="P50" i="4"/>
  <c r="V50" i="4" s="1"/>
  <c r="Q50" i="4"/>
  <c r="R50" i="4"/>
  <c r="K51" i="4"/>
  <c r="L51" i="4"/>
  <c r="U51" i="4" s="1"/>
  <c r="W51" i="4" s="1"/>
  <c r="M51" i="4"/>
  <c r="N51" i="4"/>
  <c r="O51" i="4"/>
  <c r="P51" i="4"/>
  <c r="Q51" i="4"/>
  <c r="R51" i="4"/>
  <c r="K52" i="4"/>
  <c r="L52" i="4"/>
  <c r="M52" i="4"/>
  <c r="N52" i="4"/>
  <c r="O52" i="4"/>
  <c r="Y52" i="4" s="1"/>
  <c r="P52" i="4"/>
  <c r="Q52" i="4"/>
  <c r="R52" i="4"/>
  <c r="V52" i="4"/>
  <c r="K53" i="4"/>
  <c r="L53" i="4"/>
  <c r="M53" i="4"/>
  <c r="N53" i="4"/>
  <c r="O53" i="4"/>
  <c r="P53" i="4"/>
  <c r="V53" i="4" s="1"/>
  <c r="X53" i="4" s="1"/>
  <c r="Q53" i="4"/>
  <c r="R53" i="4"/>
  <c r="U53" i="4"/>
  <c r="W53" i="4" s="1"/>
  <c r="K54" i="4"/>
  <c r="L54" i="4"/>
  <c r="M54" i="4"/>
  <c r="U54" i="4" s="1"/>
  <c r="W54" i="4" s="1"/>
  <c r="N54" i="4"/>
  <c r="O54" i="4"/>
  <c r="P54" i="4"/>
  <c r="Q54" i="4"/>
  <c r="R54" i="4"/>
  <c r="K55" i="4"/>
  <c r="L55" i="4"/>
  <c r="M55" i="4"/>
  <c r="N55" i="4"/>
  <c r="O55" i="4"/>
  <c r="P55" i="4"/>
  <c r="V55" i="4" s="1"/>
  <c r="Q55" i="4"/>
  <c r="R55" i="4"/>
  <c r="K56" i="4"/>
  <c r="L56" i="4"/>
  <c r="M56" i="4"/>
  <c r="N56" i="4"/>
  <c r="O56" i="4"/>
  <c r="P56" i="4"/>
  <c r="V56" i="4" s="1"/>
  <c r="Y56" i="4" s="1"/>
  <c r="Q56" i="4"/>
  <c r="R56" i="4"/>
  <c r="U56" i="4"/>
  <c r="W56" i="4"/>
  <c r="K57" i="4"/>
  <c r="L57" i="4"/>
  <c r="M57" i="4"/>
  <c r="U57" i="4" s="1"/>
  <c r="W57" i="4" s="1"/>
  <c r="N57" i="4"/>
  <c r="O57" i="4"/>
  <c r="P57" i="4"/>
  <c r="V57" i="4" s="1"/>
  <c r="X57" i="4" s="1"/>
  <c r="Q57" i="4"/>
  <c r="R57" i="4"/>
  <c r="K58" i="4"/>
  <c r="L58" i="4"/>
  <c r="U58" i="4" s="1"/>
  <c r="W58" i="4" s="1"/>
  <c r="M58" i="4"/>
  <c r="N58" i="4"/>
  <c r="O58" i="4"/>
  <c r="P58" i="4"/>
  <c r="Q58" i="4"/>
  <c r="V58" i="4" s="1"/>
  <c r="X58" i="4" s="1"/>
  <c r="R58" i="4"/>
  <c r="K59" i="4"/>
  <c r="L59" i="4"/>
  <c r="M59" i="4"/>
  <c r="N59" i="4"/>
  <c r="O59" i="4"/>
  <c r="P59" i="4"/>
  <c r="Q59" i="4"/>
  <c r="R59" i="4"/>
  <c r="V59" i="4"/>
  <c r="Y59" i="4" s="1"/>
  <c r="K60" i="4"/>
  <c r="L60" i="4"/>
  <c r="M60" i="4"/>
  <c r="N60" i="4"/>
  <c r="O60" i="4"/>
  <c r="P60" i="4"/>
  <c r="Q60" i="4"/>
  <c r="R60" i="4"/>
  <c r="U60" i="4"/>
  <c r="K61" i="4"/>
  <c r="L61" i="4"/>
  <c r="U61" i="4" s="1"/>
  <c r="W61" i="4" s="1"/>
  <c r="M61" i="4"/>
  <c r="N61" i="4"/>
  <c r="O61" i="4"/>
  <c r="P61" i="4"/>
  <c r="V61" i="4" s="1"/>
  <c r="Q61" i="4"/>
  <c r="R61" i="4"/>
  <c r="K62" i="4"/>
  <c r="L62" i="4"/>
  <c r="M62" i="4"/>
  <c r="N62" i="4"/>
  <c r="O62" i="4"/>
  <c r="P62" i="4"/>
  <c r="V62" i="4" s="1"/>
  <c r="Y62" i="4" s="1"/>
  <c r="Q62" i="4"/>
  <c r="R62" i="4"/>
  <c r="K63" i="4"/>
  <c r="L63" i="4"/>
  <c r="U63" i="4" s="1"/>
  <c r="W63" i="4" s="1"/>
  <c r="M63" i="4"/>
  <c r="N63" i="4"/>
  <c r="O63" i="4"/>
  <c r="P63" i="4"/>
  <c r="V63" i="4" s="1"/>
  <c r="X63" i="4" s="1"/>
  <c r="Q63" i="4"/>
  <c r="R63" i="4"/>
  <c r="K64" i="4"/>
  <c r="L64" i="4"/>
  <c r="M64" i="4"/>
  <c r="U64" i="4" s="1"/>
  <c r="W64" i="4" s="1"/>
  <c r="N64" i="4"/>
  <c r="O64" i="4"/>
  <c r="P64" i="4"/>
  <c r="Q64" i="4"/>
  <c r="R64" i="4"/>
  <c r="R46" i="4"/>
  <c r="Q46" i="4"/>
  <c r="P46" i="4"/>
  <c r="V46" i="4" s="1"/>
  <c r="O46" i="4"/>
  <c r="N46" i="4"/>
  <c r="M46" i="4"/>
  <c r="L46" i="4"/>
  <c r="U46" i="4" s="1"/>
  <c r="K46" i="4"/>
  <c r="K24" i="4"/>
  <c r="L24" i="4"/>
  <c r="M24" i="4"/>
  <c r="N24" i="4"/>
  <c r="O24" i="4"/>
  <c r="P24" i="4"/>
  <c r="Q24" i="4"/>
  <c r="R24" i="4"/>
  <c r="K25" i="4"/>
  <c r="L25" i="4"/>
  <c r="M25" i="4"/>
  <c r="N25" i="4"/>
  <c r="O25" i="4"/>
  <c r="P25" i="4"/>
  <c r="Q25" i="4"/>
  <c r="R25" i="4"/>
  <c r="V25" i="4"/>
  <c r="K26" i="4"/>
  <c r="L26" i="4"/>
  <c r="M26" i="4"/>
  <c r="N26" i="4"/>
  <c r="O26" i="4"/>
  <c r="P26" i="4"/>
  <c r="Q26" i="4"/>
  <c r="R26" i="4"/>
  <c r="V26" i="4"/>
  <c r="K27" i="4"/>
  <c r="L27" i="4"/>
  <c r="U27" i="4" s="1"/>
  <c r="W27" i="4" s="1"/>
  <c r="M27" i="4"/>
  <c r="N27" i="4"/>
  <c r="O27" i="4"/>
  <c r="P27" i="4"/>
  <c r="V27" i="4" s="1"/>
  <c r="Q27" i="4"/>
  <c r="R27" i="4"/>
  <c r="K28" i="4"/>
  <c r="L28" i="4"/>
  <c r="U28" i="4" s="1"/>
  <c r="W28" i="4" s="1"/>
  <c r="M28" i="4"/>
  <c r="N28" i="4"/>
  <c r="O28" i="4"/>
  <c r="P28" i="4"/>
  <c r="V28" i="4" s="1"/>
  <c r="Q28" i="4"/>
  <c r="R28" i="4"/>
  <c r="K29" i="4"/>
  <c r="L29" i="4"/>
  <c r="M29" i="4"/>
  <c r="N29" i="4"/>
  <c r="O29" i="4"/>
  <c r="Y29" i="4" s="1"/>
  <c r="P29" i="4"/>
  <c r="Q29" i="4"/>
  <c r="R29" i="4"/>
  <c r="V29" i="4"/>
  <c r="K30" i="4"/>
  <c r="L30" i="4"/>
  <c r="M30" i="4"/>
  <c r="N30" i="4"/>
  <c r="U30" i="4" s="1"/>
  <c r="W30" i="4" s="1"/>
  <c r="O30" i="4"/>
  <c r="P30" i="4"/>
  <c r="V30" i="4" s="1"/>
  <c r="Q30" i="4"/>
  <c r="R30" i="4"/>
  <c r="K31" i="4"/>
  <c r="L31" i="4"/>
  <c r="M31" i="4"/>
  <c r="N31" i="4"/>
  <c r="U31" i="4" s="1"/>
  <c r="W31" i="4" s="1"/>
  <c r="O31" i="4"/>
  <c r="P31" i="4"/>
  <c r="Q31" i="4"/>
  <c r="R31" i="4"/>
  <c r="K32" i="4"/>
  <c r="L32" i="4"/>
  <c r="M32" i="4"/>
  <c r="N32" i="4"/>
  <c r="O32" i="4"/>
  <c r="Y32" i="4" s="1"/>
  <c r="P32" i="4"/>
  <c r="V32" i="4" s="1"/>
  <c r="Q32" i="4"/>
  <c r="R32" i="4"/>
  <c r="K33" i="4"/>
  <c r="L33" i="4"/>
  <c r="M33" i="4"/>
  <c r="N33" i="4"/>
  <c r="U33" i="4" s="1"/>
  <c r="W33" i="4" s="1"/>
  <c r="O33" i="4"/>
  <c r="P33" i="4"/>
  <c r="V33" i="4" s="1"/>
  <c r="Y33" i="4" s="1"/>
  <c r="Q33" i="4"/>
  <c r="R33" i="4"/>
  <c r="K34" i="4"/>
  <c r="L34" i="4"/>
  <c r="M34" i="4"/>
  <c r="N34" i="4"/>
  <c r="U34" i="4" s="1"/>
  <c r="W34" i="4" s="1"/>
  <c r="O34" i="4"/>
  <c r="P34" i="4"/>
  <c r="V34" i="4" s="1"/>
  <c r="Q34" i="4"/>
  <c r="R34" i="4"/>
  <c r="K35" i="4"/>
  <c r="L35" i="4"/>
  <c r="U35" i="4" s="1"/>
  <c r="M35" i="4"/>
  <c r="N35" i="4"/>
  <c r="O35" i="4"/>
  <c r="P35" i="4"/>
  <c r="V35" i="4" s="1"/>
  <c r="Q35" i="4"/>
  <c r="R35" i="4"/>
  <c r="K36" i="4"/>
  <c r="L36" i="4"/>
  <c r="U36" i="4" s="1"/>
  <c r="M36" i="4"/>
  <c r="N36" i="4"/>
  <c r="O36" i="4"/>
  <c r="P36" i="4"/>
  <c r="Q36" i="4"/>
  <c r="R36" i="4"/>
  <c r="V36" i="4"/>
  <c r="Y36" i="4" s="1"/>
  <c r="K37" i="4"/>
  <c r="L37" i="4"/>
  <c r="M37" i="4"/>
  <c r="N37" i="4"/>
  <c r="O37" i="4"/>
  <c r="P37" i="4"/>
  <c r="Q37" i="4"/>
  <c r="R37" i="4"/>
  <c r="U37" i="4"/>
  <c r="W37" i="4" s="1"/>
  <c r="K38" i="4"/>
  <c r="L38" i="4"/>
  <c r="M38" i="4"/>
  <c r="N38" i="4"/>
  <c r="O38" i="4"/>
  <c r="P38" i="4"/>
  <c r="Q38" i="4"/>
  <c r="R38" i="4"/>
  <c r="K39" i="4"/>
  <c r="L39" i="4"/>
  <c r="U39" i="4" s="1"/>
  <c r="M39" i="4"/>
  <c r="N39" i="4"/>
  <c r="O39" i="4"/>
  <c r="P39" i="4"/>
  <c r="V39" i="4" s="1"/>
  <c r="Y39" i="4" s="1"/>
  <c r="Q39" i="4"/>
  <c r="R39" i="4"/>
  <c r="K40" i="4"/>
  <c r="L40" i="4"/>
  <c r="U40" i="4" s="1"/>
  <c r="W40" i="4" s="1"/>
  <c r="M40" i="4"/>
  <c r="N40" i="4"/>
  <c r="O40" i="4"/>
  <c r="P40" i="4"/>
  <c r="V40" i="4" s="1"/>
  <c r="X40" i="4" s="1"/>
  <c r="Q40" i="4"/>
  <c r="R40" i="4"/>
  <c r="K41" i="4"/>
  <c r="L41" i="4"/>
  <c r="M41" i="4"/>
  <c r="N41" i="4"/>
  <c r="O41" i="4"/>
  <c r="P41" i="4"/>
  <c r="V41" i="4" s="1"/>
  <c r="Q41" i="4"/>
  <c r="R41" i="4"/>
  <c r="R23" i="4"/>
  <c r="Q23" i="4"/>
  <c r="P23" i="4"/>
  <c r="V23" i="4" s="1"/>
  <c r="O23" i="4"/>
  <c r="N23" i="4"/>
  <c r="M23" i="4"/>
  <c r="L23" i="4"/>
  <c r="U23" i="4" s="1"/>
  <c r="K23" i="4"/>
  <c r="K4" i="4"/>
  <c r="L4" i="4"/>
  <c r="M4" i="4"/>
  <c r="N4" i="4"/>
  <c r="O4" i="4"/>
  <c r="P4" i="4"/>
  <c r="Q4" i="4"/>
  <c r="R4" i="4"/>
  <c r="U4" i="4"/>
  <c r="K5" i="4"/>
  <c r="L5" i="4"/>
  <c r="U5" i="4" s="1"/>
  <c r="M5" i="4"/>
  <c r="N5" i="4"/>
  <c r="O5" i="4"/>
  <c r="P5" i="4"/>
  <c r="V5" i="4" s="1"/>
  <c r="X5" i="4" s="1"/>
  <c r="Q5" i="4"/>
  <c r="R5" i="4"/>
  <c r="K6" i="4"/>
  <c r="L6" i="4"/>
  <c r="M6" i="4"/>
  <c r="N6" i="4"/>
  <c r="O6" i="4"/>
  <c r="P6" i="4"/>
  <c r="V6" i="4" s="1"/>
  <c r="Y6" i="4" s="1"/>
  <c r="Q6" i="4"/>
  <c r="R6" i="4"/>
  <c r="U6" i="4"/>
  <c r="W6" i="4" s="1"/>
  <c r="K7" i="4"/>
  <c r="L7" i="4"/>
  <c r="U7" i="4" s="1"/>
  <c r="M7" i="4"/>
  <c r="N7" i="4"/>
  <c r="O7" i="4"/>
  <c r="P7" i="4"/>
  <c r="Q7" i="4"/>
  <c r="R7" i="4"/>
  <c r="K8" i="4"/>
  <c r="L8" i="4"/>
  <c r="U8" i="4" s="1"/>
  <c r="M8" i="4"/>
  <c r="N8" i="4"/>
  <c r="O8" i="4"/>
  <c r="P8" i="4"/>
  <c r="Q8" i="4"/>
  <c r="R8" i="4"/>
  <c r="K9" i="4"/>
  <c r="L9" i="4"/>
  <c r="M9" i="4"/>
  <c r="N9" i="4"/>
  <c r="O9" i="4"/>
  <c r="P9" i="4"/>
  <c r="Q9" i="4"/>
  <c r="R9" i="4"/>
  <c r="V9" i="4"/>
  <c r="K10" i="4"/>
  <c r="L10" i="4"/>
  <c r="M10" i="4"/>
  <c r="N10" i="4"/>
  <c r="O10" i="4"/>
  <c r="P10" i="4"/>
  <c r="Q10" i="4"/>
  <c r="R10" i="4"/>
  <c r="U10" i="4"/>
  <c r="K11" i="4"/>
  <c r="L11" i="4"/>
  <c r="U11" i="4" s="1"/>
  <c r="W11" i="4" s="1"/>
  <c r="M11" i="4"/>
  <c r="N11" i="4"/>
  <c r="O11" i="4"/>
  <c r="P11" i="4"/>
  <c r="V11" i="4" s="1"/>
  <c r="Q11" i="4"/>
  <c r="R11" i="4"/>
  <c r="K12" i="4"/>
  <c r="L12" i="4"/>
  <c r="M12" i="4"/>
  <c r="N12" i="4"/>
  <c r="O12" i="4"/>
  <c r="P12" i="4"/>
  <c r="Q12" i="4"/>
  <c r="R12" i="4"/>
  <c r="K13" i="4"/>
  <c r="L13" i="4"/>
  <c r="M13" i="4"/>
  <c r="N13" i="4"/>
  <c r="O13" i="4"/>
  <c r="P13" i="4"/>
  <c r="V13" i="4" s="1"/>
  <c r="X13" i="4" s="1"/>
  <c r="Q13" i="4"/>
  <c r="R13" i="4"/>
  <c r="U13" i="4"/>
  <c r="W13" i="4" s="1"/>
  <c r="K14" i="4"/>
  <c r="L14" i="4"/>
  <c r="M14" i="4"/>
  <c r="N14" i="4"/>
  <c r="O14" i="4"/>
  <c r="P14" i="4"/>
  <c r="Q14" i="4"/>
  <c r="R14" i="4"/>
  <c r="U14" i="4"/>
  <c r="W14" i="4" s="1"/>
  <c r="K15" i="4"/>
  <c r="L15" i="4"/>
  <c r="M15" i="4"/>
  <c r="N15" i="4"/>
  <c r="O15" i="4"/>
  <c r="P15" i="4"/>
  <c r="V15" i="4" s="1"/>
  <c r="Q15" i="4"/>
  <c r="R15" i="4"/>
  <c r="K16" i="4"/>
  <c r="L16" i="4"/>
  <c r="U16" i="4" s="1"/>
  <c r="W16" i="4" s="1"/>
  <c r="M16" i="4"/>
  <c r="N16" i="4"/>
  <c r="O16" i="4"/>
  <c r="P16" i="4"/>
  <c r="V16" i="4" s="1"/>
  <c r="Y16" i="4" s="1"/>
  <c r="Q16" i="4"/>
  <c r="R16" i="4"/>
  <c r="K17" i="4"/>
  <c r="W17" i="4" s="1"/>
  <c r="L17" i="4"/>
  <c r="M17" i="4"/>
  <c r="N17" i="4"/>
  <c r="O17" i="4"/>
  <c r="P17" i="4"/>
  <c r="Q17" i="4"/>
  <c r="R17" i="4"/>
  <c r="U17" i="4"/>
  <c r="K18" i="4"/>
  <c r="L18" i="4"/>
  <c r="M18" i="4"/>
  <c r="N18" i="4"/>
  <c r="O18" i="4"/>
  <c r="P18" i="4"/>
  <c r="Q18" i="4"/>
  <c r="R18" i="4"/>
  <c r="K19" i="4"/>
  <c r="L19" i="4"/>
  <c r="M19" i="4"/>
  <c r="N19" i="4"/>
  <c r="O19" i="4"/>
  <c r="P19" i="4"/>
  <c r="Q19" i="4"/>
  <c r="R19" i="4"/>
  <c r="V19" i="4"/>
  <c r="K20" i="4"/>
  <c r="L20" i="4"/>
  <c r="M20" i="4"/>
  <c r="N20" i="4"/>
  <c r="O20" i="4"/>
  <c r="P20" i="4"/>
  <c r="Q20" i="4"/>
  <c r="R20" i="4"/>
  <c r="U20" i="4"/>
  <c r="W20" i="4" s="1"/>
  <c r="K21" i="4"/>
  <c r="L21" i="4"/>
  <c r="M21" i="4"/>
  <c r="N21" i="4"/>
  <c r="O21" i="4"/>
  <c r="P21" i="4"/>
  <c r="Q21" i="4"/>
  <c r="R21" i="4"/>
  <c r="U21" i="4"/>
  <c r="R3" i="4"/>
  <c r="Q3" i="4"/>
  <c r="P3" i="4"/>
  <c r="O3" i="4"/>
  <c r="N3" i="4"/>
  <c r="M3" i="4"/>
  <c r="L3" i="4"/>
  <c r="K3" i="4"/>
  <c r="K79" i="2"/>
  <c r="L79" i="2"/>
  <c r="M79" i="2"/>
  <c r="N79" i="2"/>
  <c r="U79" i="2" s="1"/>
  <c r="W79" i="2" s="1"/>
  <c r="O79" i="2"/>
  <c r="P79" i="2"/>
  <c r="Q79" i="2"/>
  <c r="R79" i="2"/>
  <c r="K80" i="2"/>
  <c r="L80" i="2"/>
  <c r="M80" i="2"/>
  <c r="N80" i="2"/>
  <c r="O80" i="2"/>
  <c r="P80" i="2"/>
  <c r="Q80" i="2"/>
  <c r="R80" i="2"/>
  <c r="V80" i="2"/>
  <c r="K81" i="2"/>
  <c r="L81" i="2"/>
  <c r="M81" i="2"/>
  <c r="N81" i="2"/>
  <c r="O81" i="2"/>
  <c r="P81" i="2"/>
  <c r="Q81" i="2"/>
  <c r="R81" i="2"/>
  <c r="V81" i="2"/>
  <c r="Y81" i="2" s="1"/>
  <c r="K82" i="2"/>
  <c r="L82" i="2"/>
  <c r="M82" i="2"/>
  <c r="N82" i="2"/>
  <c r="O82" i="2"/>
  <c r="P82" i="2"/>
  <c r="Q82" i="2"/>
  <c r="R82" i="2"/>
  <c r="U82" i="2"/>
  <c r="W82" i="2" s="1"/>
  <c r="K83" i="2"/>
  <c r="L83" i="2"/>
  <c r="U83" i="2" s="1"/>
  <c r="W83" i="2" s="1"/>
  <c r="M83" i="2"/>
  <c r="N83" i="2"/>
  <c r="O83" i="2"/>
  <c r="P83" i="2"/>
  <c r="Q83" i="2"/>
  <c r="R83" i="2"/>
  <c r="K84" i="2"/>
  <c r="L84" i="2"/>
  <c r="M84" i="2"/>
  <c r="N84" i="2"/>
  <c r="O84" i="2"/>
  <c r="P84" i="2"/>
  <c r="Q84" i="2"/>
  <c r="R84" i="2"/>
  <c r="V84" i="2"/>
  <c r="Y84" i="2"/>
  <c r="K85" i="2"/>
  <c r="L85" i="2"/>
  <c r="M85" i="2"/>
  <c r="N85" i="2"/>
  <c r="U85" i="2" s="1"/>
  <c r="W85" i="2" s="1"/>
  <c r="O85" i="2"/>
  <c r="Y85" i="2" s="1"/>
  <c r="P85" i="2"/>
  <c r="Q85" i="2"/>
  <c r="R85" i="2"/>
  <c r="V85" i="2"/>
  <c r="K86" i="2"/>
  <c r="L86" i="2"/>
  <c r="M86" i="2"/>
  <c r="N86" i="2"/>
  <c r="U86" i="2" s="1"/>
  <c r="W86" i="2" s="1"/>
  <c r="O86" i="2"/>
  <c r="P86" i="2"/>
  <c r="Q86" i="2"/>
  <c r="R86" i="2"/>
  <c r="K87" i="2"/>
  <c r="L87" i="2"/>
  <c r="M87" i="2"/>
  <c r="N87" i="2"/>
  <c r="O87" i="2"/>
  <c r="P87" i="2"/>
  <c r="Q87" i="2"/>
  <c r="R87" i="2"/>
  <c r="V87" i="2" s="1"/>
  <c r="Y87" i="2" s="1"/>
  <c r="K88" i="2"/>
  <c r="L88" i="2"/>
  <c r="M88" i="2"/>
  <c r="N88" i="2"/>
  <c r="U88" i="2" s="1"/>
  <c r="O88" i="2"/>
  <c r="P88" i="2"/>
  <c r="Q88" i="2"/>
  <c r="R88" i="2"/>
  <c r="V88" i="2"/>
  <c r="Y88" i="2" s="1"/>
  <c r="K89" i="2"/>
  <c r="L89" i="2"/>
  <c r="M89" i="2"/>
  <c r="N89" i="2"/>
  <c r="U89" i="2" s="1"/>
  <c r="W89" i="2" s="1"/>
  <c r="O89" i="2"/>
  <c r="P89" i="2"/>
  <c r="V89" i="2" s="1"/>
  <c r="Q89" i="2"/>
  <c r="R89" i="2"/>
  <c r="K90" i="2"/>
  <c r="L90" i="2"/>
  <c r="M90" i="2"/>
  <c r="N90" i="2"/>
  <c r="O90" i="2"/>
  <c r="P90" i="2"/>
  <c r="Q90" i="2"/>
  <c r="R90" i="2"/>
  <c r="V90" i="2"/>
  <c r="K91" i="2"/>
  <c r="L91" i="2"/>
  <c r="M91" i="2"/>
  <c r="N91" i="2"/>
  <c r="O91" i="2"/>
  <c r="P91" i="2"/>
  <c r="Q91" i="2"/>
  <c r="R91" i="2"/>
  <c r="V91" i="2"/>
  <c r="Y91" i="2" s="1"/>
  <c r="K92" i="2"/>
  <c r="L92" i="2"/>
  <c r="M92" i="2"/>
  <c r="N92" i="2"/>
  <c r="O92" i="2"/>
  <c r="P92" i="2"/>
  <c r="Q92" i="2"/>
  <c r="R92" i="2"/>
  <c r="U92" i="2"/>
  <c r="W92" i="2" s="1"/>
  <c r="K93" i="2"/>
  <c r="L93" i="2"/>
  <c r="U93" i="2" s="1"/>
  <c r="W93" i="2" s="1"/>
  <c r="M93" i="2"/>
  <c r="N93" i="2"/>
  <c r="O93" i="2"/>
  <c r="P93" i="2"/>
  <c r="Q93" i="2"/>
  <c r="R93" i="2"/>
  <c r="K94" i="2"/>
  <c r="L94" i="2"/>
  <c r="M94" i="2"/>
  <c r="N94" i="2"/>
  <c r="O94" i="2"/>
  <c r="P94" i="2"/>
  <c r="Q94" i="2"/>
  <c r="R94" i="2"/>
  <c r="V94" i="2"/>
  <c r="Y94" i="2"/>
  <c r="K95" i="2"/>
  <c r="L95" i="2"/>
  <c r="M95" i="2"/>
  <c r="N95" i="2"/>
  <c r="U95" i="2" s="1"/>
  <c r="W95" i="2" s="1"/>
  <c r="O95" i="2"/>
  <c r="P95" i="2"/>
  <c r="Q95" i="2"/>
  <c r="R95" i="2"/>
  <c r="V95" i="2"/>
  <c r="K96" i="2"/>
  <c r="L96" i="2"/>
  <c r="M96" i="2"/>
  <c r="N96" i="2"/>
  <c r="U96" i="2" s="1"/>
  <c r="W96" i="2" s="1"/>
  <c r="O96" i="2"/>
  <c r="P96" i="2"/>
  <c r="Q96" i="2"/>
  <c r="R96" i="2"/>
  <c r="K97" i="2"/>
  <c r="L97" i="2"/>
  <c r="M97" i="2"/>
  <c r="N97" i="2"/>
  <c r="O97" i="2"/>
  <c r="P97" i="2"/>
  <c r="Q97" i="2"/>
  <c r="R97" i="2"/>
  <c r="V97" i="2"/>
  <c r="Y97" i="2"/>
  <c r="K98" i="2"/>
  <c r="L98" i="2"/>
  <c r="M98" i="2"/>
  <c r="N98" i="2"/>
  <c r="U98" i="2" s="1"/>
  <c r="O98" i="2"/>
  <c r="P98" i="2"/>
  <c r="Q98" i="2"/>
  <c r="R98" i="2"/>
  <c r="V98" i="2"/>
  <c r="Y98" i="2" s="1"/>
  <c r="K99" i="2"/>
  <c r="L99" i="2"/>
  <c r="M99" i="2"/>
  <c r="N99" i="2"/>
  <c r="U99" i="2" s="1"/>
  <c r="W99" i="2" s="1"/>
  <c r="O99" i="2"/>
  <c r="P99" i="2"/>
  <c r="V99" i="2" s="1"/>
  <c r="Q99" i="2"/>
  <c r="R99" i="2"/>
  <c r="K100" i="2"/>
  <c r="L100" i="2"/>
  <c r="M100" i="2"/>
  <c r="N100" i="2"/>
  <c r="O100" i="2"/>
  <c r="P100" i="2"/>
  <c r="Q100" i="2"/>
  <c r="R100" i="2"/>
  <c r="V100" i="2" s="1"/>
  <c r="R78" i="2"/>
  <c r="V78" i="2" s="1"/>
  <c r="Q78" i="2"/>
  <c r="P78" i="2"/>
  <c r="O78" i="2"/>
  <c r="N78" i="2"/>
  <c r="U78" i="2" s="1"/>
  <c r="W78" i="2" s="1"/>
  <c r="M78" i="2"/>
  <c r="L78" i="2"/>
  <c r="K78" i="2"/>
  <c r="K55" i="2"/>
  <c r="L55" i="2"/>
  <c r="M55" i="2"/>
  <c r="N55" i="2"/>
  <c r="O55" i="2"/>
  <c r="P55" i="2"/>
  <c r="V55" i="2" s="1"/>
  <c r="Q55" i="2"/>
  <c r="R55" i="2"/>
  <c r="K56" i="2"/>
  <c r="L56" i="2"/>
  <c r="M56" i="2"/>
  <c r="N56" i="2"/>
  <c r="O56" i="2"/>
  <c r="P56" i="2"/>
  <c r="Q56" i="2"/>
  <c r="R56" i="2"/>
  <c r="V56" i="2"/>
  <c r="Y56" i="2" s="1"/>
  <c r="K57" i="2"/>
  <c r="L57" i="2"/>
  <c r="M57" i="2"/>
  <c r="N57" i="2"/>
  <c r="O57" i="2"/>
  <c r="P57" i="2"/>
  <c r="Q57" i="2"/>
  <c r="R57" i="2"/>
  <c r="U57" i="2"/>
  <c r="V57" i="2"/>
  <c r="Y57" i="2" s="1"/>
  <c r="K58" i="2"/>
  <c r="L58" i="2"/>
  <c r="M58" i="2"/>
  <c r="U58" i="2" s="1"/>
  <c r="W58" i="2" s="1"/>
  <c r="N58" i="2"/>
  <c r="O58" i="2"/>
  <c r="P58" i="2"/>
  <c r="V58" i="2" s="1"/>
  <c r="Q58" i="2"/>
  <c r="R58" i="2"/>
  <c r="K59" i="2"/>
  <c r="L59" i="2"/>
  <c r="M59" i="2"/>
  <c r="N59" i="2"/>
  <c r="O59" i="2"/>
  <c r="P59" i="2"/>
  <c r="Q59" i="2"/>
  <c r="V59" i="2" s="1"/>
  <c r="R59" i="2"/>
  <c r="K60" i="2"/>
  <c r="L60" i="2"/>
  <c r="M60" i="2"/>
  <c r="N60" i="2"/>
  <c r="O60" i="2"/>
  <c r="P60" i="2"/>
  <c r="Q60" i="2"/>
  <c r="R60" i="2"/>
  <c r="V60" i="2"/>
  <c r="K61" i="2"/>
  <c r="L61" i="2"/>
  <c r="M61" i="2"/>
  <c r="U61" i="2" s="1"/>
  <c r="W61" i="2" s="1"/>
  <c r="N61" i="2"/>
  <c r="O61" i="2"/>
  <c r="P61" i="2"/>
  <c r="V61" i="2" s="1"/>
  <c r="Q61" i="2"/>
  <c r="R61" i="2"/>
  <c r="K62" i="2"/>
  <c r="L62" i="2"/>
  <c r="M62" i="2"/>
  <c r="N62" i="2"/>
  <c r="O62" i="2"/>
  <c r="Y62" i="2" s="1"/>
  <c r="P62" i="2"/>
  <c r="V62" i="2" s="1"/>
  <c r="Q62" i="2"/>
  <c r="R62" i="2"/>
  <c r="K63" i="2"/>
  <c r="L63" i="2"/>
  <c r="U63" i="2" s="1"/>
  <c r="M63" i="2"/>
  <c r="N63" i="2"/>
  <c r="O63" i="2"/>
  <c r="P63" i="2"/>
  <c r="Q63" i="2"/>
  <c r="R63" i="2"/>
  <c r="V63" i="2"/>
  <c r="Y63" i="2"/>
  <c r="K64" i="2"/>
  <c r="L64" i="2"/>
  <c r="M64" i="2"/>
  <c r="N64" i="2"/>
  <c r="O64" i="2"/>
  <c r="P64" i="2"/>
  <c r="Q64" i="2"/>
  <c r="R64" i="2"/>
  <c r="U64" i="2"/>
  <c r="W64" i="2" s="1"/>
  <c r="V64" i="2"/>
  <c r="X64" i="2" s="1"/>
  <c r="K65" i="2"/>
  <c r="L65" i="2"/>
  <c r="M65" i="2"/>
  <c r="U65" i="2" s="1"/>
  <c r="W65" i="2" s="1"/>
  <c r="N65" i="2"/>
  <c r="O65" i="2"/>
  <c r="P65" i="2"/>
  <c r="V65" i="2" s="1"/>
  <c r="X65" i="2" s="1"/>
  <c r="Q65" i="2"/>
  <c r="R65" i="2"/>
  <c r="K66" i="2"/>
  <c r="L66" i="2"/>
  <c r="U66" i="2" s="1"/>
  <c r="M66" i="2"/>
  <c r="N66" i="2"/>
  <c r="O66" i="2"/>
  <c r="P66" i="2"/>
  <c r="Q66" i="2"/>
  <c r="R66" i="2"/>
  <c r="V66" i="2"/>
  <c r="Y66" i="2" s="1"/>
  <c r="K67" i="2"/>
  <c r="L67" i="2"/>
  <c r="M67" i="2"/>
  <c r="U67" i="2" s="1"/>
  <c r="N67" i="2"/>
  <c r="O67" i="2"/>
  <c r="P67" i="2"/>
  <c r="Q67" i="2"/>
  <c r="R67" i="2"/>
  <c r="V67" i="2"/>
  <c r="Y67" i="2" s="1"/>
  <c r="K68" i="2"/>
  <c r="L68" i="2"/>
  <c r="M68" i="2"/>
  <c r="U68" i="2" s="1"/>
  <c r="W68" i="2" s="1"/>
  <c r="N68" i="2"/>
  <c r="O68" i="2"/>
  <c r="P68" i="2"/>
  <c r="V68" i="2" s="1"/>
  <c r="Q68" i="2"/>
  <c r="R68" i="2"/>
  <c r="K69" i="2"/>
  <c r="L69" i="2"/>
  <c r="M69" i="2"/>
  <c r="N69" i="2"/>
  <c r="O69" i="2"/>
  <c r="P69" i="2"/>
  <c r="Q69" i="2"/>
  <c r="V69" i="2" s="1"/>
  <c r="R69" i="2"/>
  <c r="K70" i="2"/>
  <c r="L70" i="2"/>
  <c r="M70" i="2"/>
  <c r="N70" i="2"/>
  <c r="O70" i="2"/>
  <c r="P70" i="2"/>
  <c r="Q70" i="2"/>
  <c r="R70" i="2"/>
  <c r="V70" i="2"/>
  <c r="K71" i="2"/>
  <c r="L71" i="2"/>
  <c r="M71" i="2"/>
  <c r="U71" i="2" s="1"/>
  <c r="W71" i="2" s="1"/>
  <c r="N71" i="2"/>
  <c r="O71" i="2"/>
  <c r="P71" i="2"/>
  <c r="V71" i="2" s="1"/>
  <c r="Q71" i="2"/>
  <c r="R71" i="2"/>
  <c r="K72" i="2"/>
  <c r="L72" i="2"/>
  <c r="M72" i="2"/>
  <c r="N72" i="2"/>
  <c r="O72" i="2"/>
  <c r="Y72" i="2" s="1"/>
  <c r="P72" i="2"/>
  <c r="V72" i="2" s="1"/>
  <c r="Q72" i="2"/>
  <c r="R72" i="2"/>
  <c r="K73" i="2"/>
  <c r="L73" i="2"/>
  <c r="M73" i="2"/>
  <c r="N73" i="2"/>
  <c r="O73" i="2"/>
  <c r="P73" i="2"/>
  <c r="Q73" i="2"/>
  <c r="R73" i="2"/>
  <c r="V73" i="2"/>
  <c r="Y73" i="2"/>
  <c r="K74" i="2"/>
  <c r="L74" i="2"/>
  <c r="M74" i="2"/>
  <c r="N74" i="2"/>
  <c r="O74" i="2"/>
  <c r="P74" i="2"/>
  <c r="Q74" i="2"/>
  <c r="R74" i="2"/>
  <c r="U74" i="2"/>
  <c r="W74" i="2" s="1"/>
  <c r="V74" i="2"/>
  <c r="X74" i="2" s="1"/>
  <c r="K75" i="2"/>
  <c r="L75" i="2"/>
  <c r="M75" i="2"/>
  <c r="U75" i="2" s="1"/>
  <c r="W75" i="2" s="1"/>
  <c r="N75" i="2"/>
  <c r="O75" i="2"/>
  <c r="P75" i="2"/>
  <c r="V75" i="2" s="1"/>
  <c r="X75" i="2" s="1"/>
  <c r="Q75" i="2"/>
  <c r="R75" i="2"/>
  <c r="K76" i="2"/>
  <c r="L76" i="2"/>
  <c r="M76" i="2"/>
  <c r="N76" i="2"/>
  <c r="O76" i="2"/>
  <c r="P76" i="2"/>
  <c r="Q76" i="2"/>
  <c r="R76" i="2"/>
  <c r="V76" i="2"/>
  <c r="Y76" i="2" s="1"/>
  <c r="V54" i="2"/>
  <c r="U54" i="2"/>
  <c r="R54" i="2"/>
  <c r="Q54" i="2"/>
  <c r="P54" i="2"/>
  <c r="O54" i="2"/>
  <c r="Y54" i="2" s="1"/>
  <c r="N54" i="2"/>
  <c r="M54" i="2"/>
  <c r="L54" i="2"/>
  <c r="K54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K28" i="2"/>
  <c r="L28" i="2"/>
  <c r="M28" i="2"/>
  <c r="N28" i="2"/>
  <c r="U28" i="2" s="1"/>
  <c r="W28" i="2" s="1"/>
  <c r="O28" i="2"/>
  <c r="P28" i="2"/>
  <c r="V28" i="2" s="1"/>
  <c r="X28" i="2" s="1"/>
  <c r="Q28" i="2"/>
  <c r="R28" i="2"/>
  <c r="K29" i="2"/>
  <c r="L29" i="2"/>
  <c r="U29" i="2" s="1"/>
  <c r="X29" i="2" s="1"/>
  <c r="M29" i="2"/>
  <c r="N29" i="2"/>
  <c r="O29" i="2"/>
  <c r="Y29" i="2" s="1"/>
  <c r="P29" i="2"/>
  <c r="Q29" i="2"/>
  <c r="R29" i="2"/>
  <c r="V29" i="2"/>
  <c r="K30" i="2"/>
  <c r="W30" i="2" s="1"/>
  <c r="L30" i="2"/>
  <c r="U30" i="2" s="1"/>
  <c r="X30" i="2" s="1"/>
  <c r="M30" i="2"/>
  <c r="N30" i="2"/>
  <c r="O30" i="2"/>
  <c r="P30" i="2"/>
  <c r="Q30" i="2"/>
  <c r="R30" i="2"/>
  <c r="V30" i="2"/>
  <c r="Y30" i="2" s="1"/>
  <c r="K31" i="2"/>
  <c r="X31" i="2" s="1"/>
  <c r="L31" i="2"/>
  <c r="M31" i="2"/>
  <c r="N31" i="2"/>
  <c r="O31" i="2"/>
  <c r="P31" i="2"/>
  <c r="V31" i="2" s="1"/>
  <c r="Q31" i="2"/>
  <c r="R31" i="2"/>
  <c r="U31" i="2"/>
  <c r="W31" i="2" s="1"/>
  <c r="K32" i="2"/>
  <c r="L32" i="2"/>
  <c r="U32" i="2" s="1"/>
  <c r="W32" i="2" s="1"/>
  <c r="M32" i="2"/>
  <c r="N32" i="2"/>
  <c r="O32" i="2"/>
  <c r="Y32" i="2" s="1"/>
  <c r="P32" i="2"/>
  <c r="V32" i="2" s="1"/>
  <c r="Q32" i="2"/>
  <c r="R32" i="2"/>
  <c r="K33" i="2"/>
  <c r="L33" i="2"/>
  <c r="U33" i="2" s="1"/>
  <c r="M33" i="2"/>
  <c r="N33" i="2"/>
  <c r="O33" i="2"/>
  <c r="P33" i="2"/>
  <c r="Q33" i="2"/>
  <c r="R33" i="2"/>
  <c r="V33" i="2"/>
  <c r="Y33" i="2"/>
  <c r="K34" i="2"/>
  <c r="L34" i="2"/>
  <c r="M34" i="2"/>
  <c r="N34" i="2"/>
  <c r="O34" i="2"/>
  <c r="Y34" i="2" s="1"/>
  <c r="P34" i="2"/>
  <c r="Q34" i="2"/>
  <c r="R34" i="2"/>
  <c r="U34" i="2"/>
  <c r="W34" i="2" s="1"/>
  <c r="V34" i="2"/>
  <c r="X34" i="2" s="1"/>
  <c r="K35" i="2"/>
  <c r="L35" i="2"/>
  <c r="M35" i="2"/>
  <c r="N35" i="2"/>
  <c r="U35" i="2" s="1"/>
  <c r="W35" i="2" s="1"/>
  <c r="O35" i="2"/>
  <c r="Y35" i="2" s="1"/>
  <c r="P35" i="2"/>
  <c r="V35" i="2" s="1"/>
  <c r="Q35" i="2"/>
  <c r="R35" i="2"/>
  <c r="K36" i="2"/>
  <c r="L36" i="2"/>
  <c r="U36" i="2" s="1"/>
  <c r="M36" i="2"/>
  <c r="N36" i="2"/>
  <c r="O36" i="2"/>
  <c r="P36" i="2"/>
  <c r="Q36" i="2"/>
  <c r="R36" i="2"/>
  <c r="V36" i="2"/>
  <c r="Y36" i="2"/>
  <c r="K37" i="2"/>
  <c r="W37" i="2" s="1"/>
  <c r="L37" i="2"/>
  <c r="M37" i="2"/>
  <c r="N37" i="2"/>
  <c r="O37" i="2"/>
  <c r="P37" i="2"/>
  <c r="Q37" i="2"/>
  <c r="R37" i="2"/>
  <c r="U37" i="2"/>
  <c r="V37" i="2"/>
  <c r="Y37" i="2" s="1"/>
  <c r="K38" i="2"/>
  <c r="L38" i="2"/>
  <c r="M38" i="2"/>
  <c r="N38" i="2"/>
  <c r="U38" i="2" s="1"/>
  <c r="W38" i="2" s="1"/>
  <c r="O38" i="2"/>
  <c r="P38" i="2"/>
  <c r="V38" i="2" s="1"/>
  <c r="X38" i="2" s="1"/>
  <c r="Q38" i="2"/>
  <c r="R38" i="2"/>
  <c r="K39" i="2"/>
  <c r="L39" i="2"/>
  <c r="U39" i="2" s="1"/>
  <c r="M39" i="2"/>
  <c r="N39" i="2"/>
  <c r="O39" i="2"/>
  <c r="Y39" i="2" s="1"/>
  <c r="P39" i="2"/>
  <c r="Q39" i="2"/>
  <c r="R39" i="2"/>
  <c r="V39" i="2"/>
  <c r="K40" i="2"/>
  <c r="L40" i="2"/>
  <c r="U40" i="2" s="1"/>
  <c r="M40" i="2"/>
  <c r="N40" i="2"/>
  <c r="O40" i="2"/>
  <c r="P40" i="2"/>
  <c r="Q40" i="2"/>
  <c r="R40" i="2"/>
  <c r="V40" i="2"/>
  <c r="Y40" i="2" s="1"/>
  <c r="K41" i="2"/>
  <c r="X41" i="2" s="1"/>
  <c r="L41" i="2"/>
  <c r="M41" i="2"/>
  <c r="N41" i="2"/>
  <c r="O41" i="2"/>
  <c r="P41" i="2"/>
  <c r="V41" i="2" s="1"/>
  <c r="Q41" i="2"/>
  <c r="R41" i="2"/>
  <c r="U41" i="2"/>
  <c r="W41" i="2" s="1"/>
  <c r="K42" i="2"/>
  <c r="L42" i="2"/>
  <c r="U42" i="2" s="1"/>
  <c r="W42" i="2" s="1"/>
  <c r="M42" i="2"/>
  <c r="N42" i="2"/>
  <c r="O42" i="2"/>
  <c r="Y42" i="2" s="1"/>
  <c r="P42" i="2"/>
  <c r="V42" i="2" s="1"/>
  <c r="Q42" i="2"/>
  <c r="R42" i="2"/>
  <c r="K43" i="2"/>
  <c r="L43" i="2"/>
  <c r="U43" i="2" s="1"/>
  <c r="M43" i="2"/>
  <c r="N43" i="2"/>
  <c r="O43" i="2"/>
  <c r="P43" i="2"/>
  <c r="Q43" i="2"/>
  <c r="R43" i="2"/>
  <c r="V43" i="2"/>
  <c r="Y43" i="2"/>
  <c r="K44" i="2"/>
  <c r="L44" i="2"/>
  <c r="M44" i="2"/>
  <c r="N44" i="2"/>
  <c r="O44" i="2"/>
  <c r="Y44" i="2" s="1"/>
  <c r="P44" i="2"/>
  <c r="Q44" i="2"/>
  <c r="R44" i="2"/>
  <c r="U44" i="2"/>
  <c r="W44" i="2" s="1"/>
  <c r="V44" i="2"/>
  <c r="X44" i="2" s="1"/>
  <c r="K45" i="2"/>
  <c r="L45" i="2"/>
  <c r="M45" i="2"/>
  <c r="N45" i="2"/>
  <c r="U45" i="2" s="1"/>
  <c r="W45" i="2" s="1"/>
  <c r="O45" i="2"/>
  <c r="P45" i="2"/>
  <c r="V45" i="2" s="1"/>
  <c r="Q45" i="2"/>
  <c r="R45" i="2"/>
  <c r="K46" i="2"/>
  <c r="L46" i="2"/>
  <c r="U46" i="2" s="1"/>
  <c r="M46" i="2"/>
  <c r="N46" i="2"/>
  <c r="O46" i="2"/>
  <c r="P46" i="2"/>
  <c r="Q46" i="2"/>
  <c r="R46" i="2"/>
  <c r="V46" i="2"/>
  <c r="Y46" i="2"/>
  <c r="K47" i="2"/>
  <c r="X47" i="2" s="1"/>
  <c r="L47" i="2"/>
  <c r="M47" i="2"/>
  <c r="N47" i="2"/>
  <c r="O47" i="2"/>
  <c r="P47" i="2"/>
  <c r="Q47" i="2"/>
  <c r="R47" i="2"/>
  <c r="U47" i="2"/>
  <c r="V47" i="2"/>
  <c r="Y47" i="2" s="1"/>
  <c r="W47" i="2"/>
  <c r="K48" i="2"/>
  <c r="L48" i="2"/>
  <c r="M48" i="2"/>
  <c r="N48" i="2"/>
  <c r="U48" i="2" s="1"/>
  <c r="W48" i="2" s="1"/>
  <c r="O48" i="2"/>
  <c r="Y48" i="2" s="1"/>
  <c r="P48" i="2"/>
  <c r="V48" i="2" s="1"/>
  <c r="Q48" i="2"/>
  <c r="R48" i="2"/>
  <c r="K49" i="2"/>
  <c r="L49" i="2"/>
  <c r="U49" i="2" s="1"/>
  <c r="M49" i="2"/>
  <c r="N49" i="2"/>
  <c r="O49" i="2"/>
  <c r="Y49" i="2" s="1"/>
  <c r="P49" i="2"/>
  <c r="Q49" i="2"/>
  <c r="R49" i="2"/>
  <c r="V49" i="2"/>
  <c r="V27" i="2"/>
  <c r="U27" i="2"/>
  <c r="R27" i="2"/>
  <c r="Q27" i="2"/>
  <c r="P27" i="2"/>
  <c r="O27" i="2"/>
  <c r="Y27" i="2" s="1"/>
  <c r="N27" i="2"/>
  <c r="M27" i="2"/>
  <c r="L27" i="2"/>
  <c r="K27" i="2"/>
  <c r="X27" i="2" s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K4" i="2"/>
  <c r="L4" i="2"/>
  <c r="M4" i="2"/>
  <c r="U4" i="2" s="1"/>
  <c r="W4" i="2" s="1"/>
  <c r="N4" i="2"/>
  <c r="O4" i="2"/>
  <c r="P4" i="2"/>
  <c r="V4" i="2" s="1"/>
  <c r="X4" i="2" s="1"/>
  <c r="Q4" i="2"/>
  <c r="R4" i="2"/>
  <c r="K5" i="2"/>
  <c r="L5" i="2"/>
  <c r="U5" i="2" s="1"/>
  <c r="M5" i="2"/>
  <c r="N5" i="2"/>
  <c r="O5" i="2"/>
  <c r="P5" i="2"/>
  <c r="V5" i="2" s="1"/>
  <c r="Q5" i="2"/>
  <c r="R5" i="2"/>
  <c r="K6" i="2"/>
  <c r="X6" i="2" s="1"/>
  <c r="L6" i="2"/>
  <c r="M6" i="2"/>
  <c r="N6" i="2"/>
  <c r="O6" i="2"/>
  <c r="P6" i="2"/>
  <c r="Q6" i="2"/>
  <c r="R6" i="2"/>
  <c r="U6" i="2"/>
  <c r="V6" i="2"/>
  <c r="Y6" i="2" s="1"/>
  <c r="W6" i="2"/>
  <c r="K7" i="2"/>
  <c r="X7" i="2" s="1"/>
  <c r="L7" i="2"/>
  <c r="M7" i="2"/>
  <c r="N7" i="2"/>
  <c r="O7" i="2"/>
  <c r="P7" i="2"/>
  <c r="V7" i="2" s="1"/>
  <c r="Q7" i="2"/>
  <c r="R7" i="2"/>
  <c r="U7" i="2"/>
  <c r="W7" i="2"/>
  <c r="K8" i="2"/>
  <c r="L8" i="2"/>
  <c r="U8" i="2" s="1"/>
  <c r="W8" i="2" s="1"/>
  <c r="M8" i="2"/>
  <c r="N8" i="2"/>
  <c r="O8" i="2"/>
  <c r="P8" i="2"/>
  <c r="V8" i="2" s="1"/>
  <c r="Q8" i="2"/>
  <c r="R8" i="2"/>
  <c r="K9" i="2"/>
  <c r="L9" i="2"/>
  <c r="U9" i="2" s="1"/>
  <c r="M9" i="2"/>
  <c r="N9" i="2"/>
  <c r="O9" i="2"/>
  <c r="Y9" i="2" s="1"/>
  <c r="P9" i="2"/>
  <c r="Q9" i="2"/>
  <c r="R9" i="2"/>
  <c r="V9" i="2"/>
  <c r="K10" i="2"/>
  <c r="L10" i="2"/>
  <c r="M10" i="2"/>
  <c r="N10" i="2"/>
  <c r="O10" i="2"/>
  <c r="P10" i="2"/>
  <c r="V10" i="2" s="1"/>
  <c r="X10" i="2" s="1"/>
  <c r="Q10" i="2"/>
  <c r="R10" i="2"/>
  <c r="U10" i="2"/>
  <c r="W10" i="2" s="1"/>
  <c r="K11" i="2"/>
  <c r="L11" i="2"/>
  <c r="M11" i="2"/>
  <c r="N11" i="2"/>
  <c r="O11" i="2"/>
  <c r="Y11" i="2" s="1"/>
  <c r="P11" i="2"/>
  <c r="V11" i="2" s="1"/>
  <c r="X11" i="2" s="1"/>
  <c r="Q11" i="2"/>
  <c r="R11" i="2"/>
  <c r="U11" i="2"/>
  <c r="W11" i="2" s="1"/>
  <c r="K12" i="2"/>
  <c r="L12" i="2"/>
  <c r="U12" i="2" s="1"/>
  <c r="W12" i="2" s="1"/>
  <c r="M12" i="2"/>
  <c r="N12" i="2"/>
  <c r="O12" i="2"/>
  <c r="P12" i="2"/>
  <c r="V12" i="2" s="1"/>
  <c r="Q12" i="2"/>
  <c r="R12" i="2"/>
  <c r="K13" i="2"/>
  <c r="L13" i="2"/>
  <c r="M13" i="2"/>
  <c r="N13" i="2"/>
  <c r="O13" i="2"/>
  <c r="P13" i="2"/>
  <c r="Q13" i="2"/>
  <c r="R13" i="2"/>
  <c r="U13" i="2"/>
  <c r="W13" i="2" s="1"/>
  <c r="V13" i="2"/>
  <c r="X13" i="2" s="1"/>
  <c r="K14" i="2"/>
  <c r="L14" i="2"/>
  <c r="M14" i="2"/>
  <c r="N14" i="2"/>
  <c r="O14" i="2"/>
  <c r="P14" i="2"/>
  <c r="V14" i="2" s="1"/>
  <c r="X14" i="2" s="1"/>
  <c r="Q14" i="2"/>
  <c r="R14" i="2"/>
  <c r="U14" i="2"/>
  <c r="W14" i="2" s="1"/>
  <c r="K15" i="2"/>
  <c r="L15" i="2"/>
  <c r="U15" i="2" s="1"/>
  <c r="W15" i="2" s="1"/>
  <c r="M15" i="2"/>
  <c r="N15" i="2"/>
  <c r="O15" i="2"/>
  <c r="P15" i="2"/>
  <c r="V15" i="2" s="1"/>
  <c r="Q15" i="2"/>
  <c r="R15" i="2"/>
  <c r="K16" i="2"/>
  <c r="X16" i="2" s="1"/>
  <c r="L16" i="2"/>
  <c r="M16" i="2"/>
  <c r="N16" i="2"/>
  <c r="O16" i="2"/>
  <c r="P16" i="2"/>
  <c r="Q16" i="2"/>
  <c r="R16" i="2"/>
  <c r="U16" i="2"/>
  <c r="V16" i="2"/>
  <c r="Y16" i="2" s="1"/>
  <c r="W16" i="2"/>
  <c r="K17" i="2"/>
  <c r="X17" i="2" s="1"/>
  <c r="L17" i="2"/>
  <c r="M17" i="2"/>
  <c r="N17" i="2"/>
  <c r="O17" i="2"/>
  <c r="P17" i="2"/>
  <c r="V17" i="2" s="1"/>
  <c r="Q17" i="2"/>
  <c r="R17" i="2"/>
  <c r="U17" i="2"/>
  <c r="W17" i="2"/>
  <c r="K18" i="2"/>
  <c r="L18" i="2"/>
  <c r="U18" i="2" s="1"/>
  <c r="W18" i="2" s="1"/>
  <c r="M18" i="2"/>
  <c r="N18" i="2"/>
  <c r="O18" i="2"/>
  <c r="P18" i="2"/>
  <c r="V18" i="2" s="1"/>
  <c r="Q18" i="2"/>
  <c r="R18" i="2"/>
  <c r="K19" i="2"/>
  <c r="L19" i="2"/>
  <c r="U19" i="2" s="1"/>
  <c r="X19" i="2" s="1"/>
  <c r="M19" i="2"/>
  <c r="N19" i="2"/>
  <c r="O19" i="2"/>
  <c r="Y19" i="2" s="1"/>
  <c r="P19" i="2"/>
  <c r="Q19" i="2"/>
  <c r="R19" i="2"/>
  <c r="V19" i="2"/>
  <c r="K20" i="2"/>
  <c r="L20" i="2"/>
  <c r="M20" i="2"/>
  <c r="N20" i="2"/>
  <c r="O20" i="2"/>
  <c r="Y20" i="2" s="1"/>
  <c r="P20" i="2"/>
  <c r="V20" i="2" s="1"/>
  <c r="X20" i="2" s="1"/>
  <c r="Q20" i="2"/>
  <c r="R20" i="2"/>
  <c r="U20" i="2"/>
  <c r="W20" i="2" s="1"/>
  <c r="K21" i="2"/>
  <c r="L21" i="2"/>
  <c r="M21" i="2"/>
  <c r="N21" i="2"/>
  <c r="O21" i="2"/>
  <c r="P21" i="2"/>
  <c r="V21" i="2" s="1"/>
  <c r="X21" i="2" s="1"/>
  <c r="Q21" i="2"/>
  <c r="R21" i="2"/>
  <c r="U21" i="2"/>
  <c r="W21" i="2" s="1"/>
  <c r="K22" i="2"/>
  <c r="L22" i="2"/>
  <c r="U22" i="2" s="1"/>
  <c r="W22" i="2" s="1"/>
  <c r="M22" i="2"/>
  <c r="N22" i="2"/>
  <c r="O22" i="2"/>
  <c r="P22" i="2"/>
  <c r="V22" i="2" s="1"/>
  <c r="Q22" i="2"/>
  <c r="R22" i="2"/>
  <c r="K23" i="2"/>
  <c r="L23" i="2"/>
  <c r="M23" i="2"/>
  <c r="N23" i="2"/>
  <c r="O23" i="2"/>
  <c r="P23" i="2"/>
  <c r="Q23" i="2"/>
  <c r="R23" i="2"/>
  <c r="U23" i="2"/>
  <c r="W23" i="2" s="1"/>
  <c r="V23" i="2"/>
  <c r="X23" i="2" s="1"/>
  <c r="K24" i="2"/>
  <c r="L24" i="2"/>
  <c r="M24" i="2"/>
  <c r="N24" i="2"/>
  <c r="O24" i="2"/>
  <c r="P24" i="2"/>
  <c r="V24" i="2" s="1"/>
  <c r="X24" i="2" s="1"/>
  <c r="Q24" i="2"/>
  <c r="R24" i="2"/>
  <c r="U24" i="2"/>
  <c r="W24" i="2" s="1"/>
  <c r="K25" i="2"/>
  <c r="L25" i="2"/>
  <c r="U25" i="2" s="1"/>
  <c r="M25" i="2"/>
  <c r="N25" i="2"/>
  <c r="O25" i="2"/>
  <c r="P25" i="2"/>
  <c r="V25" i="2" s="1"/>
  <c r="Q25" i="2"/>
  <c r="R25" i="2"/>
  <c r="AA3" i="2"/>
  <c r="U3" i="2"/>
  <c r="R3" i="2"/>
  <c r="Q3" i="2"/>
  <c r="P3" i="2"/>
  <c r="V3" i="2" s="1"/>
  <c r="O3" i="2"/>
  <c r="Y3" i="2" s="1"/>
  <c r="N3" i="2"/>
  <c r="M3" i="2"/>
  <c r="L3" i="2"/>
  <c r="K3" i="2"/>
  <c r="J12" i="3"/>
  <c r="I12" i="3"/>
  <c r="H12" i="3"/>
  <c r="R12" i="3" s="1"/>
  <c r="V12" i="3" s="1"/>
  <c r="Y12" i="3" s="1"/>
  <c r="G12" i="3"/>
  <c r="Q12" i="3" s="1"/>
  <c r="F12" i="3"/>
  <c r="P12" i="3" s="1"/>
  <c r="E12" i="3"/>
  <c r="O12" i="3" s="1"/>
  <c r="D12" i="3"/>
  <c r="C12" i="3"/>
  <c r="M12" i="3" s="1"/>
  <c r="B12" i="3"/>
  <c r="L12" i="3" s="1"/>
  <c r="A12" i="3"/>
  <c r="K12" i="3" s="1"/>
  <c r="V11" i="3"/>
  <c r="Y11" i="3" s="1"/>
  <c r="R11" i="3"/>
  <c r="Q11" i="3"/>
  <c r="P11" i="3"/>
  <c r="O11" i="3"/>
  <c r="M11" i="3"/>
  <c r="U11" i="3" s="1"/>
  <c r="W11" i="3" s="1"/>
  <c r="L11" i="3"/>
  <c r="K11" i="3"/>
  <c r="I11" i="3"/>
  <c r="J11" i="3"/>
  <c r="B11" i="3"/>
  <c r="C11" i="3"/>
  <c r="D11" i="3"/>
  <c r="E11" i="3"/>
  <c r="F11" i="3"/>
  <c r="G11" i="3"/>
  <c r="H11" i="3"/>
  <c r="N11" i="3" s="1"/>
  <c r="A11" i="3"/>
  <c r="U8" i="3"/>
  <c r="W8" i="3" s="1"/>
  <c r="R8" i="3"/>
  <c r="V8" i="3" s="1"/>
  <c r="Y8" i="3" s="1"/>
  <c r="Q8" i="3"/>
  <c r="P8" i="3"/>
  <c r="O8" i="3"/>
  <c r="N8" i="3"/>
  <c r="M8" i="3"/>
  <c r="L8" i="3"/>
  <c r="K8" i="3"/>
  <c r="V7" i="3"/>
  <c r="Y7" i="3" s="1"/>
  <c r="U7" i="3"/>
  <c r="W7" i="3" s="1"/>
  <c r="R7" i="3"/>
  <c r="Q7" i="3"/>
  <c r="P7" i="3"/>
  <c r="O7" i="3"/>
  <c r="N7" i="3"/>
  <c r="M7" i="3"/>
  <c r="L7" i="3"/>
  <c r="K7" i="3"/>
  <c r="U4" i="3"/>
  <c r="V4" i="3"/>
  <c r="W4" i="3"/>
  <c r="X4" i="3"/>
  <c r="Y4" i="3"/>
  <c r="R4" i="3"/>
  <c r="Q4" i="3"/>
  <c r="P4" i="3"/>
  <c r="O4" i="3"/>
  <c r="N4" i="3"/>
  <c r="M4" i="3"/>
  <c r="L4" i="3"/>
  <c r="K4" i="3"/>
  <c r="Y3" i="3"/>
  <c r="X3" i="3"/>
  <c r="W3" i="3"/>
  <c r="V3" i="3"/>
  <c r="U3" i="3"/>
  <c r="R3" i="3"/>
  <c r="Q3" i="3"/>
  <c r="P3" i="3"/>
  <c r="O3" i="3"/>
  <c r="N3" i="3"/>
  <c r="M3" i="3"/>
  <c r="L3" i="3"/>
  <c r="K3" i="3"/>
  <c r="AB77" i="4" l="1"/>
  <c r="AB73" i="4"/>
  <c r="AB40" i="4"/>
  <c r="W7" i="4"/>
  <c r="AB76" i="4"/>
  <c r="Y55" i="4"/>
  <c r="X83" i="4"/>
  <c r="AB70" i="4"/>
  <c r="AB34" i="4"/>
  <c r="X30" i="4"/>
  <c r="AB30" i="4" s="1"/>
  <c r="Y75" i="4"/>
  <c r="AB33" i="4"/>
  <c r="AB57" i="4"/>
  <c r="AB83" i="4"/>
  <c r="AB51" i="4"/>
  <c r="X11" i="4"/>
  <c r="X46" i="4"/>
  <c r="X56" i="4"/>
  <c r="AB56" i="4" s="1"/>
  <c r="X76" i="4"/>
  <c r="U19" i="4"/>
  <c r="V12" i="4"/>
  <c r="Y12" i="4" s="1"/>
  <c r="Y61" i="4"/>
  <c r="Y50" i="4"/>
  <c r="U12" i="4"/>
  <c r="W12" i="4" s="1"/>
  <c r="X39" i="4"/>
  <c r="X33" i="4"/>
  <c r="X16" i="4"/>
  <c r="AB16" i="4" s="1"/>
  <c r="Y11" i="4"/>
  <c r="AB11" i="4" s="1"/>
  <c r="W8" i="4"/>
  <c r="W5" i="4"/>
  <c r="V51" i="4"/>
  <c r="U48" i="4"/>
  <c r="W48" i="4" s="1"/>
  <c r="U9" i="4"/>
  <c r="W9" i="4" s="1"/>
  <c r="AB9" i="4" s="1"/>
  <c r="X6" i="4"/>
  <c r="AB6" i="4" s="1"/>
  <c r="W4" i="4"/>
  <c r="Y41" i="4"/>
  <c r="Y40" i="4"/>
  <c r="Y28" i="4"/>
  <c r="U25" i="4"/>
  <c r="X25" i="4" s="1"/>
  <c r="V64" i="4"/>
  <c r="U59" i="4"/>
  <c r="X59" i="4" s="1"/>
  <c r="Y84" i="4"/>
  <c r="Y83" i="4"/>
  <c r="Y71" i="4"/>
  <c r="U68" i="4"/>
  <c r="W68" i="4" s="1"/>
  <c r="V3" i="4"/>
  <c r="V14" i="4"/>
  <c r="X14" i="4" s="1"/>
  <c r="Y23" i="4"/>
  <c r="U41" i="4"/>
  <c r="W41" i="4" s="1"/>
  <c r="U38" i="4"/>
  <c r="W38" i="4" s="1"/>
  <c r="V31" i="4"/>
  <c r="Y31" i="4" s="1"/>
  <c r="U26" i="4"/>
  <c r="X26" i="4" s="1"/>
  <c r="Y64" i="4"/>
  <c r="Y63" i="4"/>
  <c r="AB63" i="4" s="1"/>
  <c r="V54" i="4"/>
  <c r="X54" i="4" s="1"/>
  <c r="U49" i="4"/>
  <c r="X49" i="4" s="1"/>
  <c r="Y66" i="4"/>
  <c r="U84" i="4"/>
  <c r="W84" i="4" s="1"/>
  <c r="U81" i="4"/>
  <c r="W81" i="4" s="1"/>
  <c r="V74" i="4"/>
  <c r="U69" i="4"/>
  <c r="Y30" i="4"/>
  <c r="X60" i="4"/>
  <c r="Y53" i="4"/>
  <c r="AB53" i="4" s="1"/>
  <c r="Y74" i="4"/>
  <c r="Y73" i="4"/>
  <c r="X27" i="4"/>
  <c r="AB27" i="4" s="1"/>
  <c r="X50" i="4"/>
  <c r="AB50" i="4" s="1"/>
  <c r="V47" i="4"/>
  <c r="X47" i="4" s="1"/>
  <c r="X82" i="4"/>
  <c r="X70" i="4"/>
  <c r="Y26" i="4"/>
  <c r="V18" i="4"/>
  <c r="Y18" i="4" s="1"/>
  <c r="W21" i="4"/>
  <c r="V67" i="4"/>
  <c r="X67" i="4" s="1"/>
  <c r="Y78" i="4"/>
  <c r="U72" i="4"/>
  <c r="W72" i="4" s="1"/>
  <c r="V17" i="4"/>
  <c r="V8" i="4"/>
  <c r="X8" i="4" s="1"/>
  <c r="U67" i="4"/>
  <c r="W67" i="4" s="1"/>
  <c r="V4" i="4"/>
  <c r="X4" i="4" s="1"/>
  <c r="Y34" i="4"/>
  <c r="W10" i="4"/>
  <c r="AB10" i="4" s="1"/>
  <c r="V7" i="4"/>
  <c r="Y7" i="4" s="1"/>
  <c r="V24" i="4"/>
  <c r="X24" i="4" s="1"/>
  <c r="U62" i="4"/>
  <c r="W60" i="4"/>
  <c r="Y49" i="4"/>
  <c r="Y69" i="4"/>
  <c r="Y35" i="4"/>
  <c r="U29" i="4"/>
  <c r="W29" i="4" s="1"/>
  <c r="U52" i="4"/>
  <c r="X52" i="4" s="1"/>
  <c r="V20" i="4"/>
  <c r="X20" i="4" s="1"/>
  <c r="Y19" i="4"/>
  <c r="U15" i="4"/>
  <c r="W15" i="4" s="1"/>
  <c r="V37" i="4"/>
  <c r="U24" i="4"/>
  <c r="W24" i="4" s="1"/>
  <c r="W47" i="4"/>
  <c r="V80" i="4"/>
  <c r="U3" i="4"/>
  <c r="V21" i="4"/>
  <c r="X21" i="4" s="1"/>
  <c r="U18" i="4"/>
  <c r="W18" i="4" s="1"/>
  <c r="V10" i="4"/>
  <c r="X10" i="4" s="1"/>
  <c r="Y9" i="4"/>
  <c r="X23" i="4"/>
  <c r="V38" i="4"/>
  <c r="U32" i="4"/>
  <c r="X32" i="4" s="1"/>
  <c r="Y25" i="4"/>
  <c r="V60" i="4"/>
  <c r="U55" i="4"/>
  <c r="X55" i="4" s="1"/>
  <c r="X66" i="4"/>
  <c r="V81" i="4"/>
  <c r="X81" i="4" s="1"/>
  <c r="U75" i="4"/>
  <c r="W75" i="4" s="1"/>
  <c r="AB75" i="4" s="1"/>
  <c r="Y68" i="4"/>
  <c r="W71" i="4"/>
  <c r="AB71" i="4" s="1"/>
  <c r="X80" i="4"/>
  <c r="AB80" i="4" s="1"/>
  <c r="X74" i="4"/>
  <c r="AB74" i="4" s="1"/>
  <c r="W69" i="4"/>
  <c r="X69" i="4"/>
  <c r="Y80" i="4"/>
  <c r="Y77" i="4"/>
  <c r="W82" i="4"/>
  <c r="AB82" i="4" s="1"/>
  <c r="X75" i="4"/>
  <c r="W78" i="4"/>
  <c r="X78" i="4"/>
  <c r="W79" i="4"/>
  <c r="X79" i="4"/>
  <c r="X71" i="4"/>
  <c r="Y70" i="4"/>
  <c r="W66" i="4"/>
  <c r="Y57" i="4"/>
  <c r="W62" i="4"/>
  <c r="X62" i="4"/>
  <c r="X51" i="4"/>
  <c r="X64" i="4"/>
  <c r="AB64" i="4" s="1"/>
  <c r="W59" i="4"/>
  <c r="Y51" i="4"/>
  <c r="Y48" i="4"/>
  <c r="W49" i="4"/>
  <c r="AB49" i="4" s="1"/>
  <c r="Y58" i="4"/>
  <c r="AB58" i="4" s="1"/>
  <c r="Y47" i="4"/>
  <c r="W52" i="4"/>
  <c r="X61" i="4"/>
  <c r="AB61" i="4" s="1"/>
  <c r="Y60" i="4"/>
  <c r="Y46" i="4"/>
  <c r="W46" i="4"/>
  <c r="W39" i="4"/>
  <c r="X37" i="4"/>
  <c r="AB37" i="4" s="1"/>
  <c r="X31" i="4"/>
  <c r="AB31" i="4" s="1"/>
  <c r="W26" i="4"/>
  <c r="W25" i="4"/>
  <c r="AB25" i="4" s="1"/>
  <c r="X34" i="4"/>
  <c r="Y24" i="4"/>
  <c r="Y38" i="4"/>
  <c r="W35" i="4"/>
  <c r="X35" i="4"/>
  <c r="X38" i="4"/>
  <c r="Y37" i="4"/>
  <c r="W32" i="4"/>
  <c r="X41" i="4"/>
  <c r="W36" i="4"/>
  <c r="X36" i="4"/>
  <c r="X28" i="4"/>
  <c r="AB28" i="4" s="1"/>
  <c r="Y27" i="4"/>
  <c r="W23" i="4"/>
  <c r="AB23" i="4" s="1"/>
  <c r="W19" i="4"/>
  <c r="X19" i="4"/>
  <c r="X9" i="4"/>
  <c r="X15" i="4"/>
  <c r="Y15" i="4"/>
  <c r="Y17" i="4"/>
  <c r="Y8" i="4"/>
  <c r="X17" i="4"/>
  <c r="AB17" i="4" s="1"/>
  <c r="Y10" i="4"/>
  <c r="Y13" i="4"/>
  <c r="AB13" i="4" s="1"/>
  <c r="Y5" i="4"/>
  <c r="X3" i="4"/>
  <c r="Y3" i="4"/>
  <c r="W3" i="4"/>
  <c r="N12" i="3"/>
  <c r="U12" i="3" s="1"/>
  <c r="X12" i="3" s="1"/>
  <c r="X8" i="3"/>
  <c r="U97" i="2"/>
  <c r="X97" i="2" s="1"/>
  <c r="X95" i="2"/>
  <c r="AA95" i="2" s="1"/>
  <c r="Y90" i="2"/>
  <c r="X98" i="2"/>
  <c r="V92" i="2"/>
  <c r="Y92" i="2" s="1"/>
  <c r="U87" i="2"/>
  <c r="W87" i="2" s="1"/>
  <c r="X85" i="2"/>
  <c r="AA85" i="2" s="1"/>
  <c r="Y80" i="2"/>
  <c r="V79" i="2"/>
  <c r="X79" i="2" s="1"/>
  <c r="U84" i="2"/>
  <c r="U100" i="2"/>
  <c r="V93" i="2"/>
  <c r="X88" i="2"/>
  <c r="V82" i="2"/>
  <c r="Y82" i="2" s="1"/>
  <c r="U94" i="2"/>
  <c r="X94" i="2" s="1"/>
  <c r="U90" i="2"/>
  <c r="X90" i="2" s="1"/>
  <c r="V83" i="2"/>
  <c r="V96" i="2"/>
  <c r="U91" i="2"/>
  <c r="Y83" i="2"/>
  <c r="U80" i="2"/>
  <c r="X80" i="2" s="1"/>
  <c r="Y100" i="2"/>
  <c r="Y95" i="2"/>
  <c r="V86" i="2"/>
  <c r="Y86" i="2" s="1"/>
  <c r="U81" i="2"/>
  <c r="X81" i="2" s="1"/>
  <c r="Y78" i="2"/>
  <c r="X99" i="2"/>
  <c r="X89" i="2"/>
  <c r="U70" i="2"/>
  <c r="X70" i="2" s="1"/>
  <c r="U76" i="2"/>
  <c r="U62" i="2"/>
  <c r="W62" i="2" s="1"/>
  <c r="U72" i="2"/>
  <c r="W72" i="2" s="1"/>
  <c r="U55" i="2"/>
  <c r="W55" i="2" s="1"/>
  <c r="U59" i="2"/>
  <c r="W59" i="2" s="1"/>
  <c r="U69" i="2"/>
  <c r="W69" i="2" s="1"/>
  <c r="X55" i="2"/>
  <c r="X69" i="2"/>
  <c r="U60" i="2"/>
  <c r="U73" i="2"/>
  <c r="U56" i="2"/>
  <c r="AA74" i="2"/>
  <c r="X56" i="2"/>
  <c r="X71" i="2"/>
  <c r="AA71" i="2" s="1"/>
  <c r="Y70" i="2"/>
  <c r="X67" i="2"/>
  <c r="X61" i="2"/>
  <c r="Y60" i="2"/>
  <c r="X57" i="2"/>
  <c r="X54" i="2"/>
  <c r="X96" i="2"/>
  <c r="W91" i="2"/>
  <c r="X91" i="2"/>
  <c r="Y96" i="2"/>
  <c r="X86" i="2"/>
  <c r="Y99" i="2"/>
  <c r="Y89" i="2"/>
  <c r="Y79" i="2"/>
  <c r="AA79" i="2" s="1"/>
  <c r="X100" i="2"/>
  <c r="W100" i="2"/>
  <c r="AA100" i="2" s="1"/>
  <c r="X93" i="2"/>
  <c r="AA93" i="2" s="1"/>
  <c r="X84" i="2"/>
  <c r="W84" i="2"/>
  <c r="AA84" i="2" s="1"/>
  <c r="W97" i="2"/>
  <c r="AA97" i="2" s="1"/>
  <c r="Y93" i="2"/>
  <c r="X83" i="2"/>
  <c r="AA83" i="2" s="1"/>
  <c r="W98" i="2"/>
  <c r="W88" i="2"/>
  <c r="X78" i="2"/>
  <c r="AA78" i="2" s="1"/>
  <c r="W76" i="2"/>
  <c r="X76" i="2"/>
  <c r="W66" i="2"/>
  <c r="X66" i="2"/>
  <c r="X68" i="2"/>
  <c r="X58" i="2"/>
  <c r="AA58" i="2" s="1"/>
  <c r="W56" i="2"/>
  <c r="X72" i="2"/>
  <c r="AA72" i="2" s="1"/>
  <c r="Y71" i="2"/>
  <c r="Y61" i="2"/>
  <c r="X60" i="2"/>
  <c r="W60" i="2"/>
  <c r="AA60" i="2" s="1"/>
  <c r="Y75" i="2"/>
  <c r="AA75" i="2" s="1"/>
  <c r="Y65" i="2"/>
  <c r="AA65" i="2" s="1"/>
  <c r="Y68" i="2"/>
  <c r="X73" i="2"/>
  <c r="W73" i="2"/>
  <c r="AA73" i="2" s="1"/>
  <c r="X63" i="2"/>
  <c r="W63" i="2"/>
  <c r="W70" i="2"/>
  <c r="Y55" i="2"/>
  <c r="Y58" i="2"/>
  <c r="Y69" i="2"/>
  <c r="Y59" i="2"/>
  <c r="W67" i="2"/>
  <c r="Y74" i="2"/>
  <c r="Y64" i="2"/>
  <c r="AA64" i="2" s="1"/>
  <c r="W57" i="2"/>
  <c r="W54" i="2"/>
  <c r="Y38" i="2"/>
  <c r="X45" i="2"/>
  <c r="W40" i="2"/>
  <c r="X40" i="2"/>
  <c r="X48" i="2"/>
  <c r="Y45" i="2"/>
  <c r="X35" i="2"/>
  <c r="W29" i="2"/>
  <c r="X33" i="2"/>
  <c r="W33" i="2"/>
  <c r="Y28" i="2"/>
  <c r="W49" i="2"/>
  <c r="X49" i="2"/>
  <c r="X42" i="2"/>
  <c r="Y41" i="2"/>
  <c r="X43" i="2"/>
  <c r="W43" i="2"/>
  <c r="W46" i="2"/>
  <c r="X46" i="2"/>
  <c r="W36" i="2"/>
  <c r="X36" i="2"/>
  <c r="W39" i="2"/>
  <c r="X39" i="2"/>
  <c r="X32" i="2"/>
  <c r="Y31" i="2"/>
  <c r="X37" i="2"/>
  <c r="W27" i="2"/>
  <c r="AA27" i="2" s="1"/>
  <c r="X22" i="2"/>
  <c r="Y22" i="2"/>
  <c r="Y21" i="2"/>
  <c r="Y10" i="2"/>
  <c r="W5" i="2"/>
  <c r="X12" i="2"/>
  <c r="Y12" i="2"/>
  <c r="X25" i="2"/>
  <c r="Y25" i="2"/>
  <c r="Y14" i="2"/>
  <c r="Y18" i="2"/>
  <c r="Y8" i="2"/>
  <c r="Y7" i="2"/>
  <c r="W19" i="2"/>
  <c r="W9" i="2"/>
  <c r="X9" i="2"/>
  <c r="Y24" i="2"/>
  <c r="X15" i="2"/>
  <c r="Y15" i="2"/>
  <c r="Y4" i="2"/>
  <c r="X18" i="2"/>
  <c r="X5" i="2"/>
  <c r="Y5" i="2"/>
  <c r="Y17" i="2"/>
  <c r="X8" i="2"/>
  <c r="W25" i="2"/>
  <c r="Y23" i="2"/>
  <c r="Y13" i="2"/>
  <c r="X3" i="2"/>
  <c r="W3" i="2"/>
  <c r="X11" i="3"/>
  <c r="X7" i="3"/>
  <c r="AB68" i="4" l="1"/>
  <c r="AB20" i="4"/>
  <c r="AB29" i="4"/>
  <c r="AB26" i="4"/>
  <c r="AB18" i="4"/>
  <c r="AB32" i="4"/>
  <c r="AB59" i="4"/>
  <c r="AB15" i="4"/>
  <c r="AB60" i="4"/>
  <c r="AB3" i="4"/>
  <c r="AB19" i="4"/>
  <c r="AB79" i="4"/>
  <c r="AB7" i="4"/>
  <c r="Y4" i="4"/>
  <c r="X84" i="4"/>
  <c r="AB84" i="4" s="1"/>
  <c r="AB69" i="4"/>
  <c r="Y81" i="4"/>
  <c r="X7" i="4"/>
  <c r="X29" i="4"/>
  <c r="AB46" i="4"/>
  <c r="AB66" i="4"/>
  <c r="Y67" i="4"/>
  <c r="AB67" i="4" s="1"/>
  <c r="AB47" i="4"/>
  <c r="AB52" i="4"/>
  <c r="X12" i="4"/>
  <c r="X48" i="4"/>
  <c r="AB38" i="4"/>
  <c r="AB5" i="4"/>
  <c r="AB4" i="4"/>
  <c r="AB35" i="4"/>
  <c r="AB62" i="4"/>
  <c r="AB78" i="4"/>
  <c r="X18" i="4"/>
  <c r="AB12" i="4"/>
  <c r="X68" i="4"/>
  <c r="AB39" i="4"/>
  <c r="Y54" i="4"/>
  <c r="AB54" i="4" s="1"/>
  <c r="Y14" i="4"/>
  <c r="AB14" i="4" s="1"/>
  <c r="AB48" i="4"/>
  <c r="AB36" i="4"/>
  <c r="Y21" i="4"/>
  <c r="AB21" i="4" s="1"/>
  <c r="X72" i="4"/>
  <c r="AB72" i="4" s="1"/>
  <c r="AB24" i="4"/>
  <c r="Y20" i="4"/>
  <c r="W55" i="4"/>
  <c r="AB55" i="4" s="1"/>
  <c r="AB81" i="4"/>
  <c r="AB41" i="4"/>
  <c r="AB8" i="4"/>
  <c r="W12" i="3"/>
  <c r="X87" i="2"/>
  <c r="W94" i="2"/>
  <c r="AA94" i="2" s="1"/>
  <c r="AA96" i="2"/>
  <c r="W90" i="2"/>
  <c r="AA90" i="2" s="1"/>
  <c r="X82" i="2"/>
  <c r="AA82" i="2" s="1"/>
  <c r="AA88" i="2"/>
  <c r="W80" i="2"/>
  <c r="AA80" i="2" s="1"/>
  <c r="AA89" i="2"/>
  <c r="AA98" i="2"/>
  <c r="W81" i="2"/>
  <c r="AA81" i="2" s="1"/>
  <c r="X92" i="2"/>
  <c r="AA92" i="2" s="1"/>
  <c r="AA86" i="2"/>
  <c r="AA91" i="2"/>
  <c r="AA99" i="2"/>
  <c r="AA87" i="2"/>
  <c r="AA55" i="2"/>
  <c r="AA67" i="2"/>
  <c r="AA69" i="2"/>
  <c r="X59" i="2"/>
  <c r="AA59" i="2" s="1"/>
  <c r="AA63" i="2"/>
  <c r="X62" i="2"/>
  <c r="AA62" i="2" s="1"/>
  <c r="AA54" i="2"/>
  <c r="AA68" i="2"/>
  <c r="AA66" i="2"/>
  <c r="AA70" i="2"/>
  <c r="AA76" i="2"/>
  <c r="AA57" i="2"/>
  <c r="AA61" i="2"/>
  <c r="AA56" i="2"/>
</calcChain>
</file>

<file path=xl/sharedStrings.xml><?xml version="1.0" encoding="utf-8"?>
<sst xmlns="http://schemas.openxmlformats.org/spreadsheetml/2006/main" count="357" uniqueCount="91">
  <si>
    <t>republican</t>
  </si>
  <si>
    <t>year</t>
  </si>
  <si>
    <t>positive</t>
  </si>
  <si>
    <t>negative</t>
  </si>
  <si>
    <t>democratic</t>
  </si>
  <si>
    <t>median</t>
  </si>
  <si>
    <t>a1d</t>
  </si>
  <si>
    <t>a2d</t>
  </si>
  <si>
    <t>a3d</t>
  </si>
  <si>
    <t>a4d</t>
  </si>
  <si>
    <t>b1d</t>
  </si>
  <si>
    <t>b2d</t>
  </si>
  <si>
    <t>b3d</t>
  </si>
  <si>
    <t>b4d</t>
  </si>
  <si>
    <t>beta0d</t>
  </si>
  <si>
    <t>beta1d</t>
  </si>
  <si>
    <t>a1r</t>
  </si>
  <si>
    <t>a2r</t>
  </si>
  <si>
    <t>a3r</t>
  </si>
  <si>
    <t>a4r</t>
  </si>
  <si>
    <t>b1r</t>
  </si>
  <si>
    <t>b2r</t>
  </si>
  <si>
    <t>b3r</t>
  </si>
  <si>
    <t>b4r</t>
  </si>
  <si>
    <t>beta0r</t>
  </si>
  <si>
    <t>beta1r</t>
  </si>
  <si>
    <t>a1d^*</t>
  </si>
  <si>
    <t>a2d^*</t>
  </si>
  <si>
    <t>a3d^*</t>
  </si>
  <si>
    <t>b1d^*</t>
  </si>
  <si>
    <t>b2d^*</t>
  </si>
  <si>
    <t>b3d^*</t>
  </si>
  <si>
    <t>a4d^*</t>
  </si>
  <si>
    <t>b4d^*</t>
  </si>
  <si>
    <t>a1r^*</t>
  </si>
  <si>
    <t>a2r^*</t>
  </si>
  <si>
    <t>a3r^*</t>
  </si>
  <si>
    <t>a4r^*</t>
  </si>
  <si>
    <t>b1r^*</t>
  </si>
  <si>
    <t>b2r^*</t>
  </si>
  <si>
    <t>b3r^*</t>
  </si>
  <si>
    <t>b4r^*</t>
  </si>
  <si>
    <t>a1n</t>
  </si>
  <si>
    <t>a2n</t>
  </si>
  <si>
    <t>a3n</t>
  </si>
  <si>
    <t>a4n</t>
  </si>
  <si>
    <t>b1n</t>
  </si>
  <si>
    <t>b2n</t>
  </si>
  <si>
    <t>b3n</t>
  </si>
  <si>
    <t>b4n</t>
  </si>
  <si>
    <t>beta0n</t>
  </si>
  <si>
    <t>beta1n</t>
  </si>
  <si>
    <t>a1n^*</t>
  </si>
  <si>
    <t>a2n^*</t>
  </si>
  <si>
    <t>a3n^*</t>
  </si>
  <si>
    <t>a4n^*</t>
  </si>
  <si>
    <t>b1n^*</t>
  </si>
  <si>
    <t>b2n^*</t>
  </si>
  <si>
    <t>b3n^*</t>
  </si>
  <si>
    <t>b4n^*</t>
  </si>
  <si>
    <t>gamma0</t>
  </si>
  <si>
    <t>gamma1</t>
  </si>
  <si>
    <t>gamma2</t>
  </si>
  <si>
    <t>r</t>
  </si>
  <si>
    <t>p</t>
  </si>
  <si>
    <t>A2</t>
  </si>
  <si>
    <t>B2</t>
  </si>
  <si>
    <t>y</t>
  </si>
  <si>
    <t>B^*</t>
  </si>
  <si>
    <t>beta_1r</t>
  </si>
  <si>
    <t>beta_0r</t>
  </si>
  <si>
    <t>p-</t>
  </si>
  <si>
    <t>p+</t>
  </si>
  <si>
    <t>x (balance*)</t>
  </si>
  <si>
    <t>𝛄_{2r}</t>
  </si>
  <si>
    <t>𝛄_{1r}</t>
  </si>
  <si>
    <t>𝛄_{0r}</t>
  </si>
  <si>
    <t>beta_1d</t>
  </si>
  <si>
    <t>beta_0d</t>
  </si>
  <si>
    <t>𝛄_{2d}</t>
  </si>
  <si>
    <t>𝛄_{1d}</t>
  </si>
  <si>
    <t>𝛄_{0d}</t>
  </si>
  <si>
    <t>exp4</t>
  </si>
  <si>
    <t>exp3</t>
  </si>
  <si>
    <t>Year</t>
  </si>
  <si>
    <t>balance_tr</t>
  </si>
  <si>
    <t>y_r</t>
  </si>
  <si>
    <t>y_d</t>
  </si>
  <si>
    <t>exp2 (exp_final)</t>
  </si>
  <si>
    <t>exp1</t>
  </si>
  <si>
    <t>y=𝛄_{0d}+𝛄_{1d}x+𝛄_{2d}x^2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</si>
</sst>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Subjective importance trend (exp 1)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Democratic media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'experiment-00'!$AX$5:$AX$23</c:f>
              <c:numCache>
                <c:formatCode>General</c:formatCode>
                <c:ptCount val="19"/>
                <c:pt idx="0">
                  <c:v>1989</c:v>
                </c:pt>
                <c:pt idx="1">
                  <c:v>1991</c:v>
                </c:pt>
                <c:pt idx="2">
                  <c:v>1993</c:v>
                </c:pt>
                <c:pt idx="3">
                  <c:v>1995</c:v>
                </c:pt>
                <c:pt idx="4">
                  <c:v>1997</c:v>
                </c:pt>
                <c:pt idx="5">
                  <c:v>1999</c:v>
                </c:pt>
                <c:pt idx="6">
                  <c:v>2001</c:v>
                </c:pt>
                <c:pt idx="7">
                  <c:v>2003</c:v>
                </c:pt>
                <c:pt idx="8">
                  <c:v>2005</c:v>
                </c:pt>
                <c:pt idx="9">
                  <c:v>2007</c:v>
                </c:pt>
                <c:pt idx="10">
                  <c:v>2009</c:v>
                </c:pt>
                <c:pt idx="11">
                  <c:v>2011</c:v>
                </c:pt>
                <c:pt idx="12">
                  <c:v>2013</c:v>
                </c:pt>
                <c:pt idx="13">
                  <c:v>2015</c:v>
                </c:pt>
                <c:pt idx="14">
                  <c:v>2017</c:v>
                </c:pt>
                <c:pt idx="15">
                  <c:v>2019</c:v>
                </c:pt>
                <c:pt idx="16">
                  <c:v>2021</c:v>
                </c:pt>
                <c:pt idx="17">
                  <c:v>2023</c:v>
                </c:pt>
                <c:pt idx="18">
                  <c:v>2025</c:v>
                </c:pt>
              </c:numCache>
            </c:numRef>
          </c:cat>
          <c:val>
            <c:numRef>
              <c:f>'experiment-00'!$AU$5:$AU$23</c:f>
              <c:numCache>
                <c:formatCode>General</c:formatCode>
                <c:ptCount val="19"/>
                <c:pt idx="0">
                  <c:v>0.96464319070000015</c:v>
                </c:pt>
                <c:pt idx="1">
                  <c:v>0.96464319070000015</c:v>
                </c:pt>
                <c:pt idx="2">
                  <c:v>0.9388470000000001</c:v>
                </c:pt>
                <c:pt idx="3">
                  <c:v>0.9603591907000002</c:v>
                </c:pt>
                <c:pt idx="4">
                  <c:v>0.9603591907000002</c:v>
                </c:pt>
                <c:pt idx="5">
                  <c:v>0.9603591907000002</c:v>
                </c:pt>
                <c:pt idx="6">
                  <c:v>0.98211484280000017</c:v>
                </c:pt>
                <c:pt idx="7">
                  <c:v>0.98644700000000018</c:v>
                </c:pt>
                <c:pt idx="8">
                  <c:v>0.98644700000000018</c:v>
                </c:pt>
                <c:pt idx="9">
                  <c:v>0.96893671630000022</c:v>
                </c:pt>
                <c:pt idx="10">
                  <c:v>0.9388470000000001</c:v>
                </c:pt>
                <c:pt idx="11">
                  <c:v>0.95181976750000019</c:v>
                </c:pt>
                <c:pt idx="12">
                  <c:v>0.95181976750000019</c:v>
                </c:pt>
                <c:pt idx="13">
                  <c:v>0.9603591907000002</c:v>
                </c:pt>
                <c:pt idx="14">
                  <c:v>0.99127168000000021</c:v>
                </c:pt>
                <c:pt idx="15">
                  <c:v>0.97803210750000014</c:v>
                </c:pt>
                <c:pt idx="16">
                  <c:v>0.9473282112000001</c:v>
                </c:pt>
                <c:pt idx="17">
                  <c:v>0.9603591907000002</c:v>
                </c:pt>
                <c:pt idx="18">
                  <c:v>0.99127168000000021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BC-3349-8864-CF1C71E3D152}"/>
            </c:ext>
          </c:extLst>
        </c:ser>
        <c:ser>
          <c:idx val="1"/>
          <c:order val="1"/>
          <c:tx>
            <c:v>Republican media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'experiment-00'!$AX$5:$AX$23</c:f>
              <c:numCache>
                <c:formatCode>General</c:formatCode>
                <c:ptCount val="19"/>
                <c:pt idx="0">
                  <c:v>1989</c:v>
                </c:pt>
                <c:pt idx="1">
                  <c:v>1991</c:v>
                </c:pt>
                <c:pt idx="2">
                  <c:v>1993</c:v>
                </c:pt>
                <c:pt idx="3">
                  <c:v>1995</c:v>
                </c:pt>
                <c:pt idx="4">
                  <c:v>1997</c:v>
                </c:pt>
                <c:pt idx="5">
                  <c:v>1999</c:v>
                </c:pt>
                <c:pt idx="6">
                  <c:v>2001</c:v>
                </c:pt>
                <c:pt idx="7">
                  <c:v>2003</c:v>
                </c:pt>
                <c:pt idx="8">
                  <c:v>2005</c:v>
                </c:pt>
                <c:pt idx="9">
                  <c:v>2007</c:v>
                </c:pt>
                <c:pt idx="10">
                  <c:v>2009</c:v>
                </c:pt>
                <c:pt idx="11">
                  <c:v>2011</c:v>
                </c:pt>
                <c:pt idx="12">
                  <c:v>2013</c:v>
                </c:pt>
                <c:pt idx="13">
                  <c:v>2015</c:v>
                </c:pt>
                <c:pt idx="14">
                  <c:v>2017</c:v>
                </c:pt>
                <c:pt idx="15">
                  <c:v>2019</c:v>
                </c:pt>
                <c:pt idx="16">
                  <c:v>2021</c:v>
                </c:pt>
                <c:pt idx="17">
                  <c:v>2023</c:v>
                </c:pt>
                <c:pt idx="18">
                  <c:v>2025</c:v>
                </c:pt>
              </c:numCache>
            </c:numRef>
          </c:cat>
          <c:val>
            <c:numRef>
              <c:f>'experiment-00'!$AV$5:$AV$23</c:f>
              <c:numCache>
                <c:formatCode>General</c:formatCode>
                <c:ptCount val="19"/>
                <c:pt idx="0">
                  <c:v>0.59576859719999997</c:v>
                </c:pt>
                <c:pt idx="1">
                  <c:v>0.59576859719999997</c:v>
                </c:pt>
                <c:pt idx="2">
                  <c:v>0.60161199999999992</c:v>
                </c:pt>
                <c:pt idx="3">
                  <c:v>0.59673159720000002</c:v>
                </c:pt>
                <c:pt idx="4">
                  <c:v>0.59673159720000002</c:v>
                </c:pt>
                <c:pt idx="5">
                  <c:v>0.59673159720000002</c:v>
                </c:pt>
                <c:pt idx="6">
                  <c:v>0.59187106879999996</c:v>
                </c:pt>
                <c:pt idx="7">
                  <c:v>0.59091199999999999</c:v>
                </c:pt>
                <c:pt idx="8">
                  <c:v>0.59091199999999999</c:v>
                </c:pt>
                <c:pt idx="9">
                  <c:v>0.59480637479999998</c:v>
                </c:pt>
                <c:pt idx="10">
                  <c:v>0.60161199999999992</c:v>
                </c:pt>
                <c:pt idx="11">
                  <c:v>0.59865992999999995</c:v>
                </c:pt>
                <c:pt idx="12">
                  <c:v>0.59865992999999995</c:v>
                </c:pt>
                <c:pt idx="13">
                  <c:v>0.59673159720000002</c:v>
                </c:pt>
                <c:pt idx="14">
                  <c:v>0.58984727999999997</c:v>
                </c:pt>
                <c:pt idx="15">
                  <c:v>0.59277756999999998</c:v>
                </c:pt>
                <c:pt idx="16">
                  <c:v>0.59967891519999994</c:v>
                </c:pt>
                <c:pt idx="17">
                  <c:v>0.59673159720000002</c:v>
                </c:pt>
                <c:pt idx="18">
                  <c:v>0.58984727999999997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BC-3349-8864-CF1C71E3D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061840"/>
        <c:axId val="2098574800"/>
      </c:lineChart>
      <c:catAx>
        <c:axId val="210106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098574800"/>
        <c:crosses val="autoZero"/>
        <c:auto val="1"/>
        <c:lblAlgn val="ctr"/>
        <c:lblOffset val="100"/>
        <c:noMultiLvlLbl val="0"/>
      </c:catAx>
      <c:valAx>
        <c:axId val="209857480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0106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Democratic media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'experiment-00'!$AX$31:$AX$49</c:f>
              <c:numCache>
                <c:formatCode>General</c:formatCode>
                <c:ptCount val="19"/>
                <c:pt idx="0">
                  <c:v>1989</c:v>
                </c:pt>
                <c:pt idx="1">
                  <c:v>1991</c:v>
                </c:pt>
                <c:pt idx="2">
                  <c:v>1993</c:v>
                </c:pt>
                <c:pt idx="3">
                  <c:v>1995</c:v>
                </c:pt>
                <c:pt idx="4">
                  <c:v>1997</c:v>
                </c:pt>
                <c:pt idx="5">
                  <c:v>1999</c:v>
                </c:pt>
                <c:pt idx="6">
                  <c:v>2001</c:v>
                </c:pt>
                <c:pt idx="7">
                  <c:v>2003</c:v>
                </c:pt>
                <c:pt idx="8">
                  <c:v>2005</c:v>
                </c:pt>
                <c:pt idx="9">
                  <c:v>2007</c:v>
                </c:pt>
                <c:pt idx="10">
                  <c:v>2009</c:v>
                </c:pt>
                <c:pt idx="11">
                  <c:v>2011</c:v>
                </c:pt>
                <c:pt idx="12">
                  <c:v>2013</c:v>
                </c:pt>
                <c:pt idx="13">
                  <c:v>2015</c:v>
                </c:pt>
                <c:pt idx="14">
                  <c:v>2017</c:v>
                </c:pt>
                <c:pt idx="15">
                  <c:v>2019</c:v>
                </c:pt>
                <c:pt idx="16">
                  <c:v>2021</c:v>
                </c:pt>
                <c:pt idx="17">
                  <c:v>2023</c:v>
                </c:pt>
                <c:pt idx="18">
                  <c:v>2025</c:v>
                </c:pt>
              </c:numCache>
            </c:numRef>
          </c:cat>
          <c:val>
            <c:numRef>
              <c:f>'experiment-00'!$AU$31:$AU$49</c:f>
              <c:numCache>
                <c:formatCode>General</c:formatCode>
                <c:ptCount val="19"/>
                <c:pt idx="0">
                  <c:v>0.67975996760000001</c:v>
                </c:pt>
                <c:pt idx="1">
                  <c:v>0.67975996760000001</c:v>
                </c:pt>
                <c:pt idx="2">
                  <c:v>0.51189600000000002</c:v>
                </c:pt>
                <c:pt idx="3">
                  <c:v>0.65040196760000002</c:v>
                </c:pt>
                <c:pt idx="4">
                  <c:v>0.65040196760000002</c:v>
                </c:pt>
                <c:pt idx="5">
                  <c:v>0.65040196760000002</c:v>
                </c:pt>
                <c:pt idx="6">
                  <c:v>0.80546331040000008</c:v>
                </c:pt>
                <c:pt idx="7">
                  <c:v>0.83809600000000006</c:v>
                </c:pt>
                <c:pt idx="8">
                  <c:v>0.83809600000000006</c:v>
                </c:pt>
                <c:pt idx="9">
                  <c:v>0.70976570840000008</c:v>
                </c:pt>
                <c:pt idx="10">
                  <c:v>0.51189600000000002</c:v>
                </c:pt>
                <c:pt idx="11">
                  <c:v>0.59362919000000003</c:v>
                </c:pt>
                <c:pt idx="12">
                  <c:v>0.59362919000000003</c:v>
                </c:pt>
                <c:pt idx="13">
                  <c:v>0.65040196760000002</c:v>
                </c:pt>
                <c:pt idx="14">
                  <c:v>0.87511424000000004</c:v>
                </c:pt>
                <c:pt idx="15">
                  <c:v>0.77523830999999999</c:v>
                </c:pt>
                <c:pt idx="16">
                  <c:v>0.56471036159999999</c:v>
                </c:pt>
                <c:pt idx="17">
                  <c:v>0.65040196760000002</c:v>
                </c:pt>
                <c:pt idx="18">
                  <c:v>0.87511424000000004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1D-2845-B58A-910E70150306}"/>
            </c:ext>
          </c:extLst>
        </c:ser>
        <c:ser>
          <c:idx val="1"/>
          <c:order val="1"/>
          <c:tx>
            <c:v>Republican media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'experiment-00'!$AX$31:$AX$49</c:f>
              <c:numCache>
                <c:formatCode>General</c:formatCode>
                <c:ptCount val="19"/>
                <c:pt idx="0">
                  <c:v>1989</c:v>
                </c:pt>
                <c:pt idx="1">
                  <c:v>1991</c:v>
                </c:pt>
                <c:pt idx="2">
                  <c:v>1993</c:v>
                </c:pt>
                <c:pt idx="3">
                  <c:v>1995</c:v>
                </c:pt>
                <c:pt idx="4">
                  <c:v>1997</c:v>
                </c:pt>
                <c:pt idx="5">
                  <c:v>1999</c:v>
                </c:pt>
                <c:pt idx="6">
                  <c:v>2001</c:v>
                </c:pt>
                <c:pt idx="7">
                  <c:v>2003</c:v>
                </c:pt>
                <c:pt idx="8">
                  <c:v>2005</c:v>
                </c:pt>
                <c:pt idx="9">
                  <c:v>2007</c:v>
                </c:pt>
                <c:pt idx="10">
                  <c:v>2009</c:v>
                </c:pt>
                <c:pt idx="11">
                  <c:v>2011</c:v>
                </c:pt>
                <c:pt idx="12">
                  <c:v>2013</c:v>
                </c:pt>
                <c:pt idx="13">
                  <c:v>2015</c:v>
                </c:pt>
                <c:pt idx="14">
                  <c:v>2017</c:v>
                </c:pt>
                <c:pt idx="15">
                  <c:v>2019</c:v>
                </c:pt>
                <c:pt idx="16">
                  <c:v>2021</c:v>
                </c:pt>
                <c:pt idx="17">
                  <c:v>2023</c:v>
                </c:pt>
                <c:pt idx="18">
                  <c:v>2025</c:v>
                </c:pt>
              </c:numCache>
            </c:numRef>
          </c:cat>
          <c:val>
            <c:numRef>
              <c:f>'experiment-00'!$AV$31:$AV$49</c:f>
              <c:numCache>
                <c:formatCode>General</c:formatCode>
                <c:ptCount val="19"/>
                <c:pt idx="0">
                  <c:v>0.39713956256000005</c:v>
                </c:pt>
                <c:pt idx="1">
                  <c:v>0.39713956256000005</c:v>
                </c:pt>
                <c:pt idx="2">
                  <c:v>0.4644776000000001</c:v>
                </c:pt>
                <c:pt idx="3">
                  <c:v>0.40789636256000006</c:v>
                </c:pt>
                <c:pt idx="4">
                  <c:v>0.40789636256000006</c:v>
                </c:pt>
                <c:pt idx="5">
                  <c:v>0.40789636256000006</c:v>
                </c:pt>
                <c:pt idx="6">
                  <c:v>0.35498791424000004</c:v>
                </c:pt>
                <c:pt idx="7">
                  <c:v>0.34495760000000003</c:v>
                </c:pt>
                <c:pt idx="8">
                  <c:v>0.34495760000000003</c:v>
                </c:pt>
                <c:pt idx="9">
                  <c:v>0.38652646304000005</c:v>
                </c:pt>
                <c:pt idx="10">
                  <c:v>0.4644776000000001</c:v>
                </c:pt>
                <c:pt idx="11">
                  <c:v>0.42984106400000011</c:v>
                </c:pt>
                <c:pt idx="12">
                  <c:v>0.42984106400000011</c:v>
                </c:pt>
                <c:pt idx="13">
                  <c:v>0.40789636256000006</c:v>
                </c:pt>
                <c:pt idx="14">
                  <c:v>0.33398134400000007</c:v>
                </c:pt>
                <c:pt idx="15">
                  <c:v>0.36459293600000009</c:v>
                </c:pt>
                <c:pt idx="16">
                  <c:v>0.44165472896000008</c:v>
                </c:pt>
                <c:pt idx="17">
                  <c:v>0.40789636256000006</c:v>
                </c:pt>
                <c:pt idx="18">
                  <c:v>0.33398134400000007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1D-2845-B58A-910E70150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6757423"/>
        <c:axId val="767081999"/>
      </c:lineChart>
      <c:catAx>
        <c:axId val="7667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67081999"/>
        <c:crosses val="autoZero"/>
        <c:auto val="1"/>
        <c:lblAlgn val="ctr"/>
        <c:lblOffset val="100"/>
        <c:noMultiLvlLbl val="0"/>
      </c:catAx>
      <c:valAx>
        <c:axId val="767081999"/>
        <c:scaling>
          <c:orientation val="minMax"/>
          <c:min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6675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Subjective importance trend</a:t>
            </a:r>
            <a:r>
              <a:rPr lang="en-US" baseline="0"/>
              <a:t> (exp 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Democratic media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'experiment-00'!$E$5:$E$27</c:f>
              <c:numCache>
                <c:formatCode>General</c:formatCode>
                <c:ptCount val="23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1.1000000000000001</c:v>
                </c:pt>
                <c:pt idx="22">
                  <c:v>1.2</c:v>
                </c:pt>
              </c:numCache>
            </c:numRef>
          </c:cat>
          <c:val>
            <c:numRef>
              <c:f>'experiment-00'!$A$5:$A$27</c:f>
              <c:numCache>
                <c:formatCode>General</c:formatCode>
                <c:ptCount val="23"/>
                <c:pt idx="0">
                  <c:v>0.9388470000000001</c:v>
                </c:pt>
                <c:pt idx="1">
                  <c:v>0.94119907000000014</c:v>
                </c:pt>
                <c:pt idx="2">
                  <c:v>0.94355408000000007</c:v>
                </c:pt>
                <c:pt idx="3">
                  <c:v>0.94591203000000013</c:v>
                </c:pt>
                <c:pt idx="4">
                  <c:v>0.94827292000000019</c:v>
                </c:pt>
                <c:pt idx="5">
                  <c:v>0.95063675000000014</c:v>
                </c:pt>
                <c:pt idx="6">
                  <c:v>0.95300352000000021</c:v>
                </c:pt>
                <c:pt idx="7">
                  <c:v>0.95537323000000007</c:v>
                </c:pt>
                <c:pt idx="8">
                  <c:v>0.95774588000000016</c:v>
                </c:pt>
                <c:pt idx="9">
                  <c:v>0.96012147000000003</c:v>
                </c:pt>
                <c:pt idx="10">
                  <c:v>0.96250000000000013</c:v>
                </c:pt>
                <c:pt idx="11">
                  <c:v>0.96488147000000013</c:v>
                </c:pt>
                <c:pt idx="12">
                  <c:v>0.96726588000000013</c:v>
                </c:pt>
                <c:pt idx="13">
                  <c:v>0.96965323000000014</c:v>
                </c:pt>
                <c:pt idx="14">
                  <c:v>0.97204352000000016</c:v>
                </c:pt>
                <c:pt idx="15">
                  <c:v>0.97443675000000018</c:v>
                </c:pt>
                <c:pt idx="16">
                  <c:v>0.9768329200000001</c:v>
                </c:pt>
                <c:pt idx="17">
                  <c:v>0.97923203000000014</c:v>
                </c:pt>
                <c:pt idx="18">
                  <c:v>0.98163408000000019</c:v>
                </c:pt>
                <c:pt idx="19">
                  <c:v>0.98403907000000013</c:v>
                </c:pt>
                <c:pt idx="20">
                  <c:v>0.98644700000000018</c:v>
                </c:pt>
                <c:pt idx="21">
                  <c:v>0.98885787000000014</c:v>
                </c:pt>
                <c:pt idx="22">
                  <c:v>0.99127168000000021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D-DA4F-A2D8-92E03FDE5FF8}"/>
            </c:ext>
          </c:extLst>
        </c:ser>
        <c:ser>
          <c:idx val="1"/>
          <c:order val="1"/>
          <c:tx>
            <c:v>Republican media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'experiment-00'!$E$5:$E$27</c:f>
              <c:numCache>
                <c:formatCode>General</c:formatCode>
                <c:ptCount val="23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1.1000000000000001</c:v>
                </c:pt>
                <c:pt idx="22">
                  <c:v>1.2</c:v>
                </c:pt>
              </c:numCache>
            </c:numRef>
          </c:cat>
          <c:val>
            <c:numRef>
              <c:f>'experiment-00'!$T$5:$T$27</c:f>
              <c:numCache>
                <c:formatCode>General</c:formatCode>
                <c:ptCount val="23"/>
                <c:pt idx="0">
                  <c:v>0.60161199999999992</c:v>
                </c:pt>
                <c:pt idx="1">
                  <c:v>0.60107471999999995</c:v>
                </c:pt>
                <c:pt idx="2">
                  <c:v>0.60053767999999985</c:v>
                </c:pt>
                <c:pt idx="3">
                  <c:v>0.60000087999999996</c:v>
                </c:pt>
                <c:pt idx="4">
                  <c:v>0.59946431999999994</c:v>
                </c:pt>
                <c:pt idx="5">
                  <c:v>0.5989279999999999</c:v>
                </c:pt>
                <c:pt idx="6">
                  <c:v>0.59839191999999997</c:v>
                </c:pt>
                <c:pt idx="7">
                  <c:v>0.5978560799999999</c:v>
                </c:pt>
                <c:pt idx="8">
                  <c:v>0.59732047999999993</c:v>
                </c:pt>
                <c:pt idx="9">
                  <c:v>0.59678511999999995</c:v>
                </c:pt>
                <c:pt idx="10">
                  <c:v>0.59624999999999995</c:v>
                </c:pt>
                <c:pt idx="11">
                  <c:v>0.59571512000000004</c:v>
                </c:pt>
                <c:pt idx="12">
                  <c:v>0.5951804799999999</c:v>
                </c:pt>
                <c:pt idx="13">
                  <c:v>0.59464607999999997</c:v>
                </c:pt>
                <c:pt idx="14">
                  <c:v>0.5941119199999999</c:v>
                </c:pt>
                <c:pt idx="15">
                  <c:v>0.59357799999999994</c:v>
                </c:pt>
                <c:pt idx="16">
                  <c:v>0.59304431999999985</c:v>
                </c:pt>
                <c:pt idx="17">
                  <c:v>0.59251087999999996</c:v>
                </c:pt>
                <c:pt idx="18">
                  <c:v>0.59197767999999995</c:v>
                </c:pt>
                <c:pt idx="19">
                  <c:v>0.59144471999999992</c:v>
                </c:pt>
                <c:pt idx="20">
                  <c:v>0.59091199999999999</c:v>
                </c:pt>
                <c:pt idx="21">
                  <c:v>0.59037951999999994</c:v>
                </c:pt>
                <c:pt idx="22">
                  <c:v>0.58984727999999997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D-DA4F-A2D8-92E03FDE5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1252976"/>
        <c:axId val="861267056"/>
      </c:lineChart>
      <c:catAx>
        <c:axId val="861252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861267056"/>
        <c:crosses val="autoZero"/>
        <c:auto val="1"/>
        <c:lblAlgn val="ctr"/>
        <c:lblOffset val="100"/>
        <c:noMultiLvlLbl val="0"/>
      </c:catAx>
      <c:valAx>
        <c:axId val="861267056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86125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Democratic media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'experiment-00'!$E$31:$E$53</c:f>
              <c:numCache>
                <c:formatCode>General</c:formatCode>
                <c:ptCount val="23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1.1000000000000001</c:v>
                </c:pt>
                <c:pt idx="22">
                  <c:v>1.2</c:v>
                </c:pt>
              </c:numCache>
            </c:numRef>
          </c:cat>
          <c:val>
            <c:numRef>
              <c:f>'experiment-00'!$A$31:$A$53</c:f>
              <c:numCache>
                <c:formatCode>General</c:formatCode>
                <c:ptCount val="23"/>
                <c:pt idx="0">
                  <c:v>0.51189600000000002</c:v>
                </c:pt>
                <c:pt idx="1">
                  <c:v>0.5263067600000001</c:v>
                </c:pt>
                <c:pt idx="2">
                  <c:v>0.54091743999999997</c:v>
                </c:pt>
                <c:pt idx="3">
                  <c:v>0.55572804000000009</c:v>
                </c:pt>
                <c:pt idx="4">
                  <c:v>0.57073856000000001</c:v>
                </c:pt>
                <c:pt idx="5">
                  <c:v>0.58594900000000005</c:v>
                </c:pt>
                <c:pt idx="6">
                  <c:v>0.60135936000000012</c:v>
                </c:pt>
                <c:pt idx="7">
                  <c:v>0.61696963999999999</c:v>
                </c:pt>
                <c:pt idx="8">
                  <c:v>0.63277984000000009</c:v>
                </c:pt>
                <c:pt idx="9">
                  <c:v>0.64878996</c:v>
                </c:pt>
                <c:pt idx="10">
                  <c:v>0.66500000000000004</c:v>
                </c:pt>
                <c:pt idx="11">
                  <c:v>0.68140996000000009</c:v>
                </c:pt>
                <c:pt idx="12">
                  <c:v>0.69801984000000006</c:v>
                </c:pt>
                <c:pt idx="13">
                  <c:v>0.71482964000000004</c:v>
                </c:pt>
                <c:pt idx="14">
                  <c:v>0.73183936000000005</c:v>
                </c:pt>
                <c:pt idx="15">
                  <c:v>0.74904900000000008</c:v>
                </c:pt>
                <c:pt idx="16">
                  <c:v>0.76645856000000012</c:v>
                </c:pt>
                <c:pt idx="17">
                  <c:v>0.78406804000000008</c:v>
                </c:pt>
                <c:pt idx="18">
                  <c:v>0.80187744000000005</c:v>
                </c:pt>
                <c:pt idx="19">
                  <c:v>0.81988676000000005</c:v>
                </c:pt>
                <c:pt idx="20">
                  <c:v>0.83809600000000006</c:v>
                </c:pt>
                <c:pt idx="21">
                  <c:v>0.8565051600000001</c:v>
                </c:pt>
                <c:pt idx="22">
                  <c:v>0.87511424000000004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2A-0B48-BA37-A21C73BBB0B5}"/>
            </c:ext>
          </c:extLst>
        </c:ser>
        <c:ser>
          <c:idx val="1"/>
          <c:order val="1"/>
          <c:tx>
            <c:v>Republican media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'experiment-00'!$T$31:$T$53</c:f>
              <c:numCache>
                <c:formatCode>General</c:formatCode>
                <c:ptCount val="23"/>
                <c:pt idx="0">
                  <c:v>0.4644776000000001</c:v>
                </c:pt>
                <c:pt idx="1">
                  <c:v>0.45808025600000007</c:v>
                </c:pt>
                <c:pt idx="2">
                  <c:v>0.45172726400000007</c:v>
                </c:pt>
                <c:pt idx="3">
                  <c:v>0.44541862400000004</c:v>
                </c:pt>
                <c:pt idx="4">
                  <c:v>0.43915433600000009</c:v>
                </c:pt>
                <c:pt idx="5">
                  <c:v>0.43293440000000011</c:v>
                </c:pt>
                <c:pt idx="6">
                  <c:v>0.42675881600000004</c:v>
                </c:pt>
                <c:pt idx="7">
                  <c:v>0.42062758400000005</c:v>
                </c:pt>
                <c:pt idx="8">
                  <c:v>0.41454070400000009</c:v>
                </c:pt>
                <c:pt idx="9">
                  <c:v>0.40849817600000005</c:v>
                </c:pt>
                <c:pt idx="10">
                  <c:v>0.40250000000000008</c:v>
                </c:pt>
                <c:pt idx="11">
                  <c:v>0.39654617600000008</c:v>
                </c:pt>
                <c:pt idx="12">
                  <c:v>0.39063670400000006</c:v>
                </c:pt>
                <c:pt idx="13">
                  <c:v>0.38477158400000006</c:v>
                </c:pt>
                <c:pt idx="14">
                  <c:v>0.37895081600000008</c:v>
                </c:pt>
                <c:pt idx="15">
                  <c:v>0.37317440000000007</c:v>
                </c:pt>
                <c:pt idx="16">
                  <c:v>0.36744233600000009</c:v>
                </c:pt>
                <c:pt idx="17">
                  <c:v>0.36175462400000008</c:v>
                </c:pt>
                <c:pt idx="18">
                  <c:v>0.35611126400000004</c:v>
                </c:pt>
                <c:pt idx="19">
                  <c:v>0.35051225600000008</c:v>
                </c:pt>
                <c:pt idx="20">
                  <c:v>0.34495760000000003</c:v>
                </c:pt>
                <c:pt idx="21">
                  <c:v>0.33944729600000006</c:v>
                </c:pt>
                <c:pt idx="22">
                  <c:v>0.33398134400000007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2A-0B48-BA37-A21C73BBB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3500047"/>
        <c:axId val="720950672"/>
      </c:lineChart>
      <c:catAx>
        <c:axId val="174350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20950672"/>
        <c:crosses val="autoZero"/>
        <c:auto val="1"/>
        <c:lblAlgn val="ctr"/>
        <c:lblOffset val="100"/>
        <c:noMultiLvlLbl val="0"/>
      </c:catAx>
      <c:valAx>
        <c:axId val="720950672"/>
        <c:scaling>
          <c:orientation val="minMax"/>
          <c:min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74350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Subjective importance trend</a:t>
            </a:r>
            <a:r>
              <a:rPr lang="en-US" baseline="0"/>
              <a:t> (exp 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Democratic media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'experiment-00'!$F$57:$F$77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'experiment-00'!$A$57:$A$77</c:f>
              <c:numCache>
                <c:formatCode>General</c:formatCode>
                <c:ptCount val="21"/>
                <c:pt idx="0">
                  <c:v>0.29140625640000001</c:v>
                </c:pt>
                <c:pt idx="1">
                  <c:v>0.31456056225999995</c:v>
                </c:pt>
                <c:pt idx="2">
                  <c:v>0.33771486811999996</c:v>
                </c:pt>
                <c:pt idx="3">
                  <c:v>0.36086917397999996</c:v>
                </c:pt>
                <c:pt idx="4">
                  <c:v>0.38402347984000001</c:v>
                </c:pt>
                <c:pt idx="5">
                  <c:v>0.40717778569999991</c:v>
                </c:pt>
                <c:pt idx="6">
                  <c:v>0.43033209155999996</c:v>
                </c:pt>
                <c:pt idx="7">
                  <c:v>0.45348639741999996</c:v>
                </c:pt>
                <c:pt idx="8">
                  <c:v>0.47664070328000002</c:v>
                </c:pt>
                <c:pt idx="9">
                  <c:v>0.49979500913999997</c:v>
                </c:pt>
                <c:pt idx="10">
                  <c:v>0.52294931499999997</c:v>
                </c:pt>
                <c:pt idx="11">
                  <c:v>0.54610362086000008</c:v>
                </c:pt>
                <c:pt idx="12">
                  <c:v>0.56925792671999997</c:v>
                </c:pt>
                <c:pt idx="13">
                  <c:v>0.59241223258000009</c:v>
                </c:pt>
                <c:pt idx="14">
                  <c:v>0.61556653844000009</c:v>
                </c:pt>
                <c:pt idx="15">
                  <c:v>0.63872084429999987</c:v>
                </c:pt>
                <c:pt idx="16">
                  <c:v>0.66187515016000009</c:v>
                </c:pt>
                <c:pt idx="17">
                  <c:v>0.68502945601999998</c:v>
                </c:pt>
                <c:pt idx="18">
                  <c:v>0.7081837618800001</c:v>
                </c:pt>
                <c:pt idx="19">
                  <c:v>0.73133806773999999</c:v>
                </c:pt>
                <c:pt idx="20">
                  <c:v>0.75449237359999999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3-AE4B-9559-FF07352CE570}"/>
            </c:ext>
          </c:extLst>
        </c:ser>
        <c:ser>
          <c:idx val="1"/>
          <c:order val="1"/>
          <c:tx>
            <c:v>Republican media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'experiment-00'!$T$57:$T$77</c:f>
              <c:numCache>
                <c:formatCode>General</c:formatCode>
                <c:ptCount val="21"/>
                <c:pt idx="0">
                  <c:v>0.14411832000000002</c:v>
                </c:pt>
                <c:pt idx="1">
                  <c:v>0.15859378560000004</c:v>
                </c:pt>
                <c:pt idx="2">
                  <c:v>0.17306925120000002</c:v>
                </c:pt>
                <c:pt idx="3">
                  <c:v>0.18754471680000004</c:v>
                </c:pt>
                <c:pt idx="4">
                  <c:v>0.20202018240000003</c:v>
                </c:pt>
                <c:pt idx="5">
                  <c:v>0.21649564800000001</c:v>
                </c:pt>
                <c:pt idx="6">
                  <c:v>0.23097111360000006</c:v>
                </c:pt>
                <c:pt idx="7">
                  <c:v>0.24544657920000001</c:v>
                </c:pt>
                <c:pt idx="8">
                  <c:v>0.25992204480000008</c:v>
                </c:pt>
                <c:pt idx="9">
                  <c:v>0.27439751040000004</c:v>
                </c:pt>
                <c:pt idx="10">
                  <c:v>0.288872976</c:v>
                </c:pt>
                <c:pt idx="11">
                  <c:v>0.30334844160000002</c:v>
                </c:pt>
                <c:pt idx="12">
                  <c:v>0.31782390720000009</c:v>
                </c:pt>
                <c:pt idx="13">
                  <c:v>0.33229937280000005</c:v>
                </c:pt>
                <c:pt idx="14">
                  <c:v>0.34677483840000006</c:v>
                </c:pt>
                <c:pt idx="15">
                  <c:v>0.36125030400000008</c:v>
                </c:pt>
                <c:pt idx="16">
                  <c:v>0.37572576960000004</c:v>
                </c:pt>
                <c:pt idx="17">
                  <c:v>0.39020123520000005</c:v>
                </c:pt>
                <c:pt idx="18">
                  <c:v>0.40467670080000001</c:v>
                </c:pt>
                <c:pt idx="19">
                  <c:v>0.41915216640000008</c:v>
                </c:pt>
                <c:pt idx="20">
                  <c:v>0.4336276320000001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3-AE4B-9559-FF07352CE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254928"/>
        <c:axId val="1414392896"/>
      </c:lineChart>
      <c:catAx>
        <c:axId val="1198254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Reliability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414392896"/>
        <c:crosses val="autoZero"/>
        <c:auto val="1"/>
        <c:lblAlgn val="ctr"/>
        <c:lblOffset val="100"/>
        <c:noMultiLvlLbl val="0"/>
      </c:catAx>
      <c:valAx>
        <c:axId val="1414392896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19825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Subjective</a:t>
            </a:r>
            <a:r>
              <a:rPr lang="en-US" baseline="0"/>
              <a:t> importance trend (exp 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Democratic media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'experiment-00'!$G$81:$G$101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'experiment-00'!$A$81:$A$101</c:f>
              <c:numCache>
                <c:formatCode>General</c:formatCode>
                <c:ptCount val="21"/>
                <c:pt idx="0">
                  <c:v>0.23154305860000002</c:v>
                </c:pt>
                <c:pt idx="1">
                  <c:v>0.24611337142000003</c:v>
                </c:pt>
                <c:pt idx="2">
                  <c:v>0.26068368424000005</c:v>
                </c:pt>
                <c:pt idx="3">
                  <c:v>0.27525399706000003</c:v>
                </c:pt>
                <c:pt idx="4">
                  <c:v>0.28982430988000002</c:v>
                </c:pt>
                <c:pt idx="5">
                  <c:v>0.30439462270000001</c:v>
                </c:pt>
                <c:pt idx="6">
                  <c:v>0.31896493551999999</c:v>
                </c:pt>
                <c:pt idx="7">
                  <c:v>0.33353524834000003</c:v>
                </c:pt>
                <c:pt idx="8">
                  <c:v>0.34810556116000008</c:v>
                </c:pt>
                <c:pt idx="9">
                  <c:v>0.36267587398000001</c:v>
                </c:pt>
                <c:pt idx="10">
                  <c:v>0.37724618679999999</c:v>
                </c:pt>
                <c:pt idx="11">
                  <c:v>0.39181649962000004</c:v>
                </c:pt>
                <c:pt idx="12">
                  <c:v>0.40638681244000002</c:v>
                </c:pt>
                <c:pt idx="13">
                  <c:v>0.42095712526000006</c:v>
                </c:pt>
                <c:pt idx="14">
                  <c:v>0.43552743807999994</c:v>
                </c:pt>
                <c:pt idx="15">
                  <c:v>0.45009775090000004</c:v>
                </c:pt>
                <c:pt idx="16">
                  <c:v>0.46466806372000008</c:v>
                </c:pt>
                <c:pt idx="17">
                  <c:v>0.47923837653999996</c:v>
                </c:pt>
                <c:pt idx="18">
                  <c:v>0.49380868936</c:v>
                </c:pt>
                <c:pt idx="19">
                  <c:v>0.50837900217999998</c:v>
                </c:pt>
                <c:pt idx="20">
                  <c:v>0.52294931499999997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E7-534B-B201-BD5DC8425933}"/>
            </c:ext>
          </c:extLst>
        </c:ser>
        <c:ser>
          <c:idx val="1"/>
          <c:order val="1"/>
          <c:tx>
            <c:v>Republican media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'experiment-00'!$T$81:$T$101</c:f>
              <c:numCache>
                <c:formatCode>General</c:formatCode>
                <c:ptCount val="21"/>
                <c:pt idx="0">
                  <c:v>0.14475465600000004</c:v>
                </c:pt>
                <c:pt idx="1">
                  <c:v>0.15196057200000002</c:v>
                </c:pt>
                <c:pt idx="2">
                  <c:v>0.15916648800000002</c:v>
                </c:pt>
                <c:pt idx="3">
                  <c:v>0.16637240400000003</c:v>
                </c:pt>
                <c:pt idx="4">
                  <c:v>0.17357832000000001</c:v>
                </c:pt>
                <c:pt idx="5">
                  <c:v>0.18078423600000001</c:v>
                </c:pt>
                <c:pt idx="6">
                  <c:v>0.18799015200000005</c:v>
                </c:pt>
                <c:pt idx="7">
                  <c:v>0.19519606800000006</c:v>
                </c:pt>
                <c:pt idx="8">
                  <c:v>0.20240198400000001</c:v>
                </c:pt>
                <c:pt idx="9">
                  <c:v>0.20960790000000001</c:v>
                </c:pt>
                <c:pt idx="10">
                  <c:v>0.21681381600000005</c:v>
                </c:pt>
                <c:pt idx="11">
                  <c:v>0.22401973200000003</c:v>
                </c:pt>
                <c:pt idx="12">
                  <c:v>0.23122564800000003</c:v>
                </c:pt>
                <c:pt idx="13">
                  <c:v>0.23843156400000004</c:v>
                </c:pt>
                <c:pt idx="14">
                  <c:v>0.24563747999999999</c:v>
                </c:pt>
                <c:pt idx="15">
                  <c:v>0.25284339600000005</c:v>
                </c:pt>
                <c:pt idx="16">
                  <c:v>0.26004931200000009</c:v>
                </c:pt>
                <c:pt idx="17">
                  <c:v>0.26725522800000007</c:v>
                </c:pt>
                <c:pt idx="18">
                  <c:v>0.27446114400000005</c:v>
                </c:pt>
                <c:pt idx="19">
                  <c:v>0.28166706000000002</c:v>
                </c:pt>
                <c:pt idx="20">
                  <c:v>0.288872976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E7-534B-B201-BD5DC8425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5096032"/>
        <c:axId val="1413888608"/>
      </c:lineChart>
      <c:catAx>
        <c:axId val="1075096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413888608"/>
        <c:crosses val="autoZero"/>
        <c:auto val="1"/>
        <c:lblAlgn val="ctr"/>
        <c:lblOffset val="100"/>
        <c:noMultiLvlLbl val="0"/>
      </c:catAx>
      <c:valAx>
        <c:axId val="1413888608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07509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Democratic media (positive news)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'power balance'!$Z$3:$Z$25</c:f>
              <c:numCache>
                <c:formatCode>General</c:formatCode>
                <c:ptCount val="23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1.1000000000000001</c:v>
                </c:pt>
                <c:pt idx="22">
                  <c:v>1.2</c:v>
                </c:pt>
              </c:numCache>
            </c:numRef>
          </c:cat>
          <c:val>
            <c:numRef>
              <c:f>'power balance'!$AA$3:$AA$25</c:f>
              <c:numCache>
                <c:formatCode>General</c:formatCode>
                <c:ptCount val="23"/>
                <c:pt idx="0">
                  <c:v>0.51189600000000002</c:v>
                </c:pt>
                <c:pt idx="1">
                  <c:v>0.5263067600000001</c:v>
                </c:pt>
                <c:pt idx="2">
                  <c:v>0.54091743999999997</c:v>
                </c:pt>
                <c:pt idx="3">
                  <c:v>0.55572804000000009</c:v>
                </c:pt>
                <c:pt idx="4">
                  <c:v>0.57073856000000001</c:v>
                </c:pt>
                <c:pt idx="5">
                  <c:v>0.58594900000000005</c:v>
                </c:pt>
                <c:pt idx="6">
                  <c:v>0.60135936000000012</c:v>
                </c:pt>
                <c:pt idx="7">
                  <c:v>0.61696963999999999</c:v>
                </c:pt>
                <c:pt idx="8">
                  <c:v>0.63277984000000009</c:v>
                </c:pt>
                <c:pt idx="9">
                  <c:v>0.64878996</c:v>
                </c:pt>
                <c:pt idx="10">
                  <c:v>0.66500000000000004</c:v>
                </c:pt>
                <c:pt idx="11">
                  <c:v>0.68140996000000009</c:v>
                </c:pt>
                <c:pt idx="12">
                  <c:v>0.69801984000000006</c:v>
                </c:pt>
                <c:pt idx="13">
                  <c:v>0.71482964000000004</c:v>
                </c:pt>
                <c:pt idx="14">
                  <c:v>0.73183936000000005</c:v>
                </c:pt>
                <c:pt idx="15">
                  <c:v>0.74904900000000008</c:v>
                </c:pt>
                <c:pt idx="16">
                  <c:v>0.76645856000000012</c:v>
                </c:pt>
                <c:pt idx="17">
                  <c:v>0.78406804000000008</c:v>
                </c:pt>
                <c:pt idx="18">
                  <c:v>0.80187744000000005</c:v>
                </c:pt>
                <c:pt idx="19">
                  <c:v>0.81988676000000005</c:v>
                </c:pt>
                <c:pt idx="20">
                  <c:v>0.83809600000000006</c:v>
                </c:pt>
                <c:pt idx="21">
                  <c:v>0.8565051600000001</c:v>
                </c:pt>
                <c:pt idx="22">
                  <c:v>0.87511424000000004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37-DC40-A194-17EE4F3D7302}"/>
            </c:ext>
          </c:extLst>
        </c:ser>
        <c:ser>
          <c:idx val="1"/>
          <c:order val="1"/>
          <c:tx>
            <c:v>Democratic media (negative news)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val>
            <c:numRef>
              <c:f>'power balance'!$AA$27:$AA$49</c:f>
              <c:numCache>
                <c:formatCode>General</c:formatCode>
                <c:ptCount val="23"/>
                <c:pt idx="0">
                  <c:v>0.54454400000000003</c:v>
                </c:pt>
                <c:pt idx="1">
                  <c:v>0.55983704000000001</c:v>
                </c:pt>
                <c:pt idx="2">
                  <c:v>0.57534175999999992</c:v>
                </c:pt>
                <c:pt idx="3">
                  <c:v>0.59105816</c:v>
                </c:pt>
                <c:pt idx="4">
                  <c:v>0.6069862399999999</c:v>
                </c:pt>
                <c:pt idx="5">
                  <c:v>0.62312599999999996</c:v>
                </c:pt>
                <c:pt idx="6">
                  <c:v>0.63947743999999995</c:v>
                </c:pt>
                <c:pt idx="7">
                  <c:v>0.65604055999999999</c:v>
                </c:pt>
                <c:pt idx="8">
                  <c:v>0.67281535999999997</c:v>
                </c:pt>
                <c:pt idx="9">
                  <c:v>0.68980184</c:v>
                </c:pt>
                <c:pt idx="10">
                  <c:v>0.70699999999999996</c:v>
                </c:pt>
                <c:pt idx="11">
                  <c:v>0.72440983999999997</c:v>
                </c:pt>
                <c:pt idx="12">
                  <c:v>0.74203135999999992</c:v>
                </c:pt>
                <c:pt idx="13">
                  <c:v>0.75986455999999991</c:v>
                </c:pt>
                <c:pt idx="14">
                  <c:v>0.77790944000000006</c:v>
                </c:pt>
                <c:pt idx="15">
                  <c:v>0.79616600000000004</c:v>
                </c:pt>
                <c:pt idx="16">
                  <c:v>0.81463423999999995</c:v>
                </c:pt>
                <c:pt idx="17">
                  <c:v>0.83331416000000003</c:v>
                </c:pt>
                <c:pt idx="18">
                  <c:v>0.85220575999999992</c:v>
                </c:pt>
                <c:pt idx="19">
                  <c:v>0.87130903999999998</c:v>
                </c:pt>
                <c:pt idx="20">
                  <c:v>0.89062399999999997</c:v>
                </c:pt>
                <c:pt idx="21">
                  <c:v>0.91015064000000001</c:v>
                </c:pt>
                <c:pt idx="22">
                  <c:v>0.92988895999999999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37-DC40-A194-17EE4F3D7302}"/>
            </c:ext>
          </c:extLst>
        </c:ser>
        <c:ser>
          <c:idx val="2"/>
          <c:order val="2"/>
          <c:tx>
            <c:v>Republican media (positive news)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'power balance'!$AA$54:$AA$76</c:f>
              <c:numCache>
                <c:formatCode>General</c:formatCode>
                <c:ptCount val="23"/>
                <c:pt idx="0">
                  <c:v>0.4644776000000001</c:v>
                </c:pt>
                <c:pt idx="1">
                  <c:v>0.45808025600000007</c:v>
                </c:pt>
                <c:pt idx="2">
                  <c:v>0.45172726400000007</c:v>
                </c:pt>
                <c:pt idx="3">
                  <c:v>0.44541862400000004</c:v>
                </c:pt>
                <c:pt idx="4">
                  <c:v>0.43915433600000009</c:v>
                </c:pt>
                <c:pt idx="5">
                  <c:v>0.43293440000000011</c:v>
                </c:pt>
                <c:pt idx="6">
                  <c:v>0.42675881600000004</c:v>
                </c:pt>
                <c:pt idx="7">
                  <c:v>0.42062758400000005</c:v>
                </c:pt>
                <c:pt idx="8">
                  <c:v>0.41454070400000009</c:v>
                </c:pt>
                <c:pt idx="9">
                  <c:v>0.40849817600000005</c:v>
                </c:pt>
                <c:pt idx="10">
                  <c:v>0.40250000000000008</c:v>
                </c:pt>
                <c:pt idx="11">
                  <c:v>0.39654617600000008</c:v>
                </c:pt>
                <c:pt idx="12">
                  <c:v>0.39063670400000006</c:v>
                </c:pt>
                <c:pt idx="13">
                  <c:v>0.38477158400000006</c:v>
                </c:pt>
                <c:pt idx="14">
                  <c:v>0.37895081600000008</c:v>
                </c:pt>
                <c:pt idx="15">
                  <c:v>0.37317440000000007</c:v>
                </c:pt>
                <c:pt idx="16">
                  <c:v>0.36744233600000009</c:v>
                </c:pt>
                <c:pt idx="17">
                  <c:v>0.36175462400000008</c:v>
                </c:pt>
                <c:pt idx="18">
                  <c:v>0.35611126400000004</c:v>
                </c:pt>
                <c:pt idx="19">
                  <c:v>0.35051225600000008</c:v>
                </c:pt>
                <c:pt idx="20">
                  <c:v>0.34495760000000003</c:v>
                </c:pt>
                <c:pt idx="21">
                  <c:v>0.33944729600000006</c:v>
                </c:pt>
                <c:pt idx="22">
                  <c:v>0.33398134400000007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37-DC40-A194-17EE4F3D7302}"/>
            </c:ext>
          </c:extLst>
        </c:ser>
        <c:ser>
          <c:idx val="3"/>
          <c:order val="3"/>
          <c:tx>
            <c:v>Republican media (negative news)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val>
            <c:numRef>
              <c:f>'power balance'!$AA$78:$AA$100</c:f>
              <c:numCache>
                <c:formatCode>General</c:formatCode>
                <c:ptCount val="23"/>
                <c:pt idx="0">
                  <c:v>0.4806430000000001</c:v>
                </c:pt>
                <c:pt idx="1">
                  <c:v>0.47406208000000011</c:v>
                </c:pt>
                <c:pt idx="2">
                  <c:v>0.46752652000000011</c:v>
                </c:pt>
                <c:pt idx="3">
                  <c:v>0.46103632000000011</c:v>
                </c:pt>
                <c:pt idx="4">
                  <c:v>0.4545914800000001</c:v>
                </c:pt>
                <c:pt idx="5">
                  <c:v>0.44819200000000009</c:v>
                </c:pt>
                <c:pt idx="6">
                  <c:v>0.44183788000000013</c:v>
                </c:pt>
                <c:pt idx="7">
                  <c:v>0.4355291200000001</c:v>
                </c:pt>
                <c:pt idx="8">
                  <c:v>0.42926572000000007</c:v>
                </c:pt>
                <c:pt idx="9">
                  <c:v>0.42304768000000009</c:v>
                </c:pt>
                <c:pt idx="10">
                  <c:v>0.41687500000000011</c:v>
                </c:pt>
                <c:pt idx="11">
                  <c:v>0.41074768000000011</c:v>
                </c:pt>
                <c:pt idx="12">
                  <c:v>0.40466572000000012</c:v>
                </c:pt>
                <c:pt idx="13">
                  <c:v>0.39862912000000006</c:v>
                </c:pt>
                <c:pt idx="14">
                  <c:v>0.39263788000000011</c:v>
                </c:pt>
                <c:pt idx="15">
                  <c:v>0.38669200000000009</c:v>
                </c:pt>
                <c:pt idx="16">
                  <c:v>0.38079148000000013</c:v>
                </c:pt>
                <c:pt idx="17">
                  <c:v>0.37493632000000016</c:v>
                </c:pt>
                <c:pt idx="18">
                  <c:v>0.36912652000000007</c:v>
                </c:pt>
                <c:pt idx="19">
                  <c:v>0.36336208000000009</c:v>
                </c:pt>
                <c:pt idx="20">
                  <c:v>0.3576430000000001</c:v>
                </c:pt>
                <c:pt idx="21">
                  <c:v>0.35196928000000011</c:v>
                </c:pt>
                <c:pt idx="22">
                  <c:v>0.34634092000000011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37-DC40-A194-17EE4F3D7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433344"/>
        <c:axId val="1424176560"/>
      </c:lineChart>
      <c:catAx>
        <c:axId val="7343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Power balance (including Trump effect)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424176560"/>
        <c:crosses val="autoZero"/>
        <c:auto val="1"/>
        <c:lblAlgn val="ctr"/>
        <c:lblOffset val="100"/>
        <c:noMultiLvlLbl val="0"/>
      </c:catAx>
      <c:valAx>
        <c:axId val="1424176560"/>
        <c:scaling>
          <c:orientation val="minMax"/>
          <c:min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343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Democratic media (positive news)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yearly!$Z$3:$Z$21</c:f>
              <c:numCache>
                <c:formatCode>General</c:formatCode>
                <c:ptCount val="19"/>
                <c:pt idx="0">
                  <c:v>1989</c:v>
                </c:pt>
                <c:pt idx="1">
                  <c:v>1991</c:v>
                </c:pt>
                <c:pt idx="2">
                  <c:v>1993</c:v>
                </c:pt>
                <c:pt idx="3">
                  <c:v>1995</c:v>
                </c:pt>
                <c:pt idx="4">
                  <c:v>1997</c:v>
                </c:pt>
                <c:pt idx="5">
                  <c:v>1999</c:v>
                </c:pt>
                <c:pt idx="6">
                  <c:v>2001</c:v>
                </c:pt>
                <c:pt idx="7">
                  <c:v>2003</c:v>
                </c:pt>
                <c:pt idx="8">
                  <c:v>2005</c:v>
                </c:pt>
                <c:pt idx="9">
                  <c:v>2007</c:v>
                </c:pt>
                <c:pt idx="10">
                  <c:v>2009</c:v>
                </c:pt>
                <c:pt idx="11">
                  <c:v>2011</c:v>
                </c:pt>
                <c:pt idx="12">
                  <c:v>2013</c:v>
                </c:pt>
                <c:pt idx="13">
                  <c:v>2015</c:v>
                </c:pt>
                <c:pt idx="14">
                  <c:v>2017</c:v>
                </c:pt>
                <c:pt idx="15">
                  <c:v>2019</c:v>
                </c:pt>
                <c:pt idx="16">
                  <c:v>2021</c:v>
                </c:pt>
                <c:pt idx="17">
                  <c:v>2023</c:v>
                </c:pt>
                <c:pt idx="18">
                  <c:v>2025</c:v>
                </c:pt>
              </c:numCache>
            </c:numRef>
          </c:cat>
          <c:val>
            <c:numRef>
              <c:f>yearly!$AB$3:$AB$21</c:f>
              <c:numCache>
                <c:formatCode>General</c:formatCode>
                <c:ptCount val="19"/>
                <c:pt idx="0">
                  <c:v>0.67975996760000001</c:v>
                </c:pt>
                <c:pt idx="1">
                  <c:v>0.67975996760000001</c:v>
                </c:pt>
                <c:pt idx="2">
                  <c:v>0.51189600000000002</c:v>
                </c:pt>
                <c:pt idx="3">
                  <c:v>0.65040196760000002</c:v>
                </c:pt>
                <c:pt idx="4">
                  <c:v>0.65040196760000002</c:v>
                </c:pt>
                <c:pt idx="5">
                  <c:v>0.65040196760000002</c:v>
                </c:pt>
                <c:pt idx="6">
                  <c:v>0.80546331040000008</c:v>
                </c:pt>
                <c:pt idx="7">
                  <c:v>0.83809600000000006</c:v>
                </c:pt>
                <c:pt idx="8">
                  <c:v>0.83809600000000006</c:v>
                </c:pt>
                <c:pt idx="9">
                  <c:v>0.70976570840000008</c:v>
                </c:pt>
                <c:pt idx="10">
                  <c:v>0.51189600000000002</c:v>
                </c:pt>
                <c:pt idx="11">
                  <c:v>0.59362919000000003</c:v>
                </c:pt>
                <c:pt idx="12">
                  <c:v>0.59362919000000003</c:v>
                </c:pt>
                <c:pt idx="13">
                  <c:v>0.65040196760000002</c:v>
                </c:pt>
                <c:pt idx="14">
                  <c:v>0.87511424000000004</c:v>
                </c:pt>
                <c:pt idx="15">
                  <c:v>0.77523830999999999</c:v>
                </c:pt>
                <c:pt idx="16">
                  <c:v>0.56471036159999999</c:v>
                </c:pt>
                <c:pt idx="17">
                  <c:v>0.65040196760000002</c:v>
                </c:pt>
                <c:pt idx="18">
                  <c:v>0.87511424000000004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EB-D146-AFC6-0C90EBF83CC1}"/>
            </c:ext>
          </c:extLst>
        </c:ser>
        <c:ser>
          <c:idx val="1"/>
          <c:order val="1"/>
          <c:tx>
            <c:v>Democratic media (negative news)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val>
            <c:numRef>
              <c:f>yearly!$AB$23:$AB$41</c:f>
              <c:numCache>
                <c:formatCode>General</c:formatCode>
                <c:ptCount val="19"/>
                <c:pt idx="0">
                  <c:v>0.72265933039999997</c:v>
                </c:pt>
                <c:pt idx="1">
                  <c:v>0.72265933039999997</c:v>
                </c:pt>
                <c:pt idx="2">
                  <c:v>0.54454400000000003</c:v>
                </c:pt>
                <c:pt idx="3">
                  <c:v>0.69151213040000004</c:v>
                </c:pt>
                <c:pt idx="4">
                  <c:v>0.69151213040000004</c:v>
                </c:pt>
                <c:pt idx="5">
                  <c:v>0.69151213040000004</c:v>
                </c:pt>
                <c:pt idx="6">
                  <c:v>0.85600948160000001</c:v>
                </c:pt>
                <c:pt idx="7">
                  <c:v>0.89062399999999997</c:v>
                </c:pt>
                <c:pt idx="8">
                  <c:v>0.89062399999999997</c:v>
                </c:pt>
                <c:pt idx="9">
                  <c:v>0.75449237359999999</c:v>
                </c:pt>
                <c:pt idx="10">
                  <c:v>0.54454400000000003</c:v>
                </c:pt>
                <c:pt idx="11">
                  <c:v>0.63127525999999989</c:v>
                </c:pt>
                <c:pt idx="12">
                  <c:v>0.63127525999999989</c:v>
                </c:pt>
                <c:pt idx="13">
                  <c:v>0.69151213040000004</c:v>
                </c:pt>
                <c:pt idx="14">
                  <c:v>0.92988895999999999</c:v>
                </c:pt>
                <c:pt idx="15">
                  <c:v>0.82394773999999993</c:v>
                </c:pt>
                <c:pt idx="16">
                  <c:v>0.60058960639999992</c:v>
                </c:pt>
                <c:pt idx="17">
                  <c:v>0.69151213040000004</c:v>
                </c:pt>
                <c:pt idx="18">
                  <c:v>0.92988895999999999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EB-D146-AFC6-0C90EBF83CC1}"/>
            </c:ext>
          </c:extLst>
        </c:ser>
        <c:ser>
          <c:idx val="2"/>
          <c:order val="2"/>
          <c:tx>
            <c:v>Republican media (positive news)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yearly!$AB$46:$AB$64</c:f>
              <c:numCache>
                <c:formatCode>General</c:formatCode>
                <c:ptCount val="19"/>
                <c:pt idx="0">
                  <c:v>0.39713956256000005</c:v>
                </c:pt>
                <c:pt idx="1">
                  <c:v>0.39713956256000005</c:v>
                </c:pt>
                <c:pt idx="2">
                  <c:v>0.4644776000000001</c:v>
                </c:pt>
                <c:pt idx="3">
                  <c:v>0.40789636256000006</c:v>
                </c:pt>
                <c:pt idx="4">
                  <c:v>0.40789636256000006</c:v>
                </c:pt>
                <c:pt idx="5">
                  <c:v>0.40789636256000006</c:v>
                </c:pt>
                <c:pt idx="6">
                  <c:v>0.35498791424000004</c:v>
                </c:pt>
                <c:pt idx="7">
                  <c:v>0.34495760000000003</c:v>
                </c:pt>
                <c:pt idx="8">
                  <c:v>0.34495760000000003</c:v>
                </c:pt>
                <c:pt idx="9">
                  <c:v>0.38652646304000005</c:v>
                </c:pt>
                <c:pt idx="10">
                  <c:v>0.4644776000000001</c:v>
                </c:pt>
                <c:pt idx="11">
                  <c:v>0.42984106400000011</c:v>
                </c:pt>
                <c:pt idx="12">
                  <c:v>0.42984106400000011</c:v>
                </c:pt>
                <c:pt idx="13">
                  <c:v>0.40789636256000006</c:v>
                </c:pt>
                <c:pt idx="14">
                  <c:v>0.33398134400000007</c:v>
                </c:pt>
                <c:pt idx="15">
                  <c:v>0.36459293600000009</c:v>
                </c:pt>
                <c:pt idx="16">
                  <c:v>0.44165472896000008</c:v>
                </c:pt>
                <c:pt idx="17">
                  <c:v>0.40789636256000006</c:v>
                </c:pt>
                <c:pt idx="18">
                  <c:v>0.33398134400000007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EB-D146-AFC6-0C90EBF83CC1}"/>
            </c:ext>
          </c:extLst>
        </c:ser>
        <c:ser>
          <c:idx val="3"/>
          <c:order val="3"/>
          <c:tx>
            <c:v>Republican media (negative news)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val>
            <c:numRef>
              <c:f>yearly!$AB$66:$AB$84</c:f>
              <c:numCache>
                <c:formatCode>General</c:formatCode>
                <c:ptCount val="19"/>
                <c:pt idx="0">
                  <c:v>0.41135837080000009</c:v>
                </c:pt>
                <c:pt idx="1">
                  <c:v>0.41135837080000009</c:v>
                </c:pt>
                <c:pt idx="2">
                  <c:v>0.4806430000000001</c:v>
                </c:pt>
                <c:pt idx="3">
                  <c:v>0.42242837080000012</c:v>
                </c:pt>
                <c:pt idx="4">
                  <c:v>0.42242837080000012</c:v>
                </c:pt>
                <c:pt idx="5">
                  <c:v>0.42242837080000012</c:v>
                </c:pt>
                <c:pt idx="6">
                  <c:v>0.36797000320000012</c:v>
                </c:pt>
                <c:pt idx="7">
                  <c:v>0.3576430000000001</c:v>
                </c:pt>
                <c:pt idx="8">
                  <c:v>0.3576430000000001</c:v>
                </c:pt>
                <c:pt idx="9">
                  <c:v>0.40043533720000013</c:v>
                </c:pt>
                <c:pt idx="10">
                  <c:v>0.4806430000000001</c:v>
                </c:pt>
                <c:pt idx="11">
                  <c:v>0.44500927000000012</c:v>
                </c:pt>
                <c:pt idx="12">
                  <c:v>0.44500927000000012</c:v>
                </c:pt>
                <c:pt idx="13">
                  <c:v>0.42242837080000012</c:v>
                </c:pt>
                <c:pt idx="14">
                  <c:v>0.34634092000000011</c:v>
                </c:pt>
                <c:pt idx="15">
                  <c:v>0.37785823000000013</c:v>
                </c:pt>
                <c:pt idx="16">
                  <c:v>0.4571639728000001</c:v>
                </c:pt>
                <c:pt idx="17">
                  <c:v>0.42242837080000012</c:v>
                </c:pt>
                <c:pt idx="18">
                  <c:v>0.34634092000000011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EB-D146-AFC6-0C90EBF83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16320"/>
        <c:axId val="761558384"/>
      </c:lineChart>
      <c:catAx>
        <c:axId val="24716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61558384"/>
        <c:crosses val="autoZero"/>
        <c:auto val="1"/>
        <c:lblAlgn val="ctr"/>
        <c:lblOffset val="100"/>
        <c:noMultiLvlLbl val="0"/>
      </c:catAx>
      <c:valAx>
        <c:axId val="761558384"/>
        <c:scaling>
          <c:orientation val="minMax"/>
          <c:min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471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38100</xdr:colOff>
      <xdr:row>7</xdr:row>
      <xdr:rowOff>69850</xdr:rowOff>
    </xdr:from>
    <xdr:to>
      <xdr:col>56</xdr:col>
      <xdr:colOff>482600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83072B-A1D9-D046-B53A-01D9FE045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38100</xdr:colOff>
      <xdr:row>31</xdr:row>
      <xdr:rowOff>101600</xdr:rowOff>
    </xdr:from>
    <xdr:to>
      <xdr:col>56</xdr:col>
      <xdr:colOff>482600</xdr:colOff>
      <xdr:row>45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213569-3662-9B4C-A23A-59A7752F8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158750</xdr:colOff>
      <xdr:row>6</xdr:row>
      <xdr:rowOff>63500</xdr:rowOff>
    </xdr:from>
    <xdr:to>
      <xdr:col>43</xdr:col>
      <xdr:colOff>603250</xdr:colOff>
      <xdr:row>19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0B9ECB-B3E5-5746-94CE-E9E469823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273050</xdr:colOff>
      <xdr:row>31</xdr:row>
      <xdr:rowOff>190500</xdr:rowOff>
    </xdr:from>
    <xdr:to>
      <xdr:col>43</xdr:col>
      <xdr:colOff>717550</xdr:colOff>
      <xdr:row>45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07400F-B399-9847-963C-DC1EE8D4A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412750</xdr:colOff>
      <xdr:row>58</xdr:row>
      <xdr:rowOff>12700</xdr:rowOff>
    </xdr:from>
    <xdr:to>
      <xdr:col>44</xdr:col>
      <xdr:colOff>31750</xdr:colOff>
      <xdr:row>71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BDB86E-5E06-AD49-8662-0684C653F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387350</xdr:colOff>
      <xdr:row>83</xdr:row>
      <xdr:rowOff>165100</xdr:rowOff>
    </xdr:from>
    <xdr:to>
      <xdr:col>44</xdr:col>
      <xdr:colOff>6350</xdr:colOff>
      <xdr:row>97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00CA73-B454-DB48-86E1-41D344819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107950</xdr:colOff>
      <xdr:row>5</xdr:row>
      <xdr:rowOff>171450</xdr:rowOff>
    </xdr:from>
    <xdr:to>
      <xdr:col>35</xdr:col>
      <xdr:colOff>641350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1B723F-56A5-D2EA-A767-E6C92051E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603250</xdr:colOff>
      <xdr:row>4</xdr:row>
      <xdr:rowOff>158750</xdr:rowOff>
    </xdr:from>
    <xdr:to>
      <xdr:col>36</xdr:col>
      <xdr:colOff>311150</xdr:colOff>
      <xdr:row>22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9D62AB-A72B-0685-D6C7-33F6E24B9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98B9-BB14-7040-910E-9B34B3D61CF3}">
  <dimension ref="A1:AX101"/>
  <sheetViews>
    <sheetView topLeftCell="P22" workbookViewId="0">
      <selection activeCell="AP52" sqref="AP52"/>
    </sheetView>
  </sheetViews>
  <sheetFormatPr baseColWidth="10" defaultRowHeight="16" x14ac:dyDescent="0.2"/>
  <sheetData>
    <row r="1" spans="1:50" x14ac:dyDescent="0.2">
      <c r="A1" t="s">
        <v>90</v>
      </c>
    </row>
    <row r="3" spans="1:50" x14ac:dyDescent="0.2">
      <c r="A3" t="s">
        <v>89</v>
      </c>
    </row>
    <row r="4" spans="1:50" x14ac:dyDescent="0.2">
      <c r="A4" t="s">
        <v>67</v>
      </c>
      <c r="B4" t="s">
        <v>81</v>
      </c>
      <c r="C4" t="s">
        <v>80</v>
      </c>
      <c r="D4" t="s">
        <v>79</v>
      </c>
      <c r="E4" t="s">
        <v>73</v>
      </c>
      <c r="F4" t="s">
        <v>63</v>
      </c>
      <c r="G4" t="s">
        <v>72</v>
      </c>
      <c r="H4" t="s">
        <v>71</v>
      </c>
      <c r="I4" t="s">
        <v>78</v>
      </c>
      <c r="J4" t="s">
        <v>77</v>
      </c>
      <c r="K4" t="s">
        <v>6</v>
      </c>
      <c r="L4" t="s">
        <v>10</v>
      </c>
      <c r="M4" t="s">
        <v>7</v>
      </c>
      <c r="N4" t="s">
        <v>11</v>
      </c>
      <c r="O4" t="s">
        <v>8</v>
      </c>
      <c r="P4" t="s">
        <v>12</v>
      </c>
      <c r="Q4" t="s">
        <v>9</v>
      </c>
      <c r="R4" t="s">
        <v>13</v>
      </c>
      <c r="T4" t="s">
        <v>67</v>
      </c>
      <c r="U4" t="s">
        <v>76</v>
      </c>
      <c r="V4" t="s">
        <v>75</v>
      </c>
      <c r="W4" t="s">
        <v>74</v>
      </c>
      <c r="X4" t="s">
        <v>73</v>
      </c>
      <c r="Y4" t="s">
        <v>63</v>
      </c>
      <c r="Z4" t="s">
        <v>72</v>
      </c>
      <c r="AA4" t="s">
        <v>71</v>
      </c>
      <c r="AB4" t="s">
        <v>70</v>
      </c>
      <c r="AC4" t="s">
        <v>69</v>
      </c>
      <c r="AD4" t="s">
        <v>16</v>
      </c>
      <c r="AE4" t="s">
        <v>20</v>
      </c>
      <c r="AF4" t="s">
        <v>17</v>
      </c>
      <c r="AG4" t="s">
        <v>21</v>
      </c>
      <c r="AH4" t="s">
        <v>18</v>
      </c>
      <c r="AI4" t="s">
        <v>22</v>
      </c>
      <c r="AJ4" t="s">
        <v>19</v>
      </c>
      <c r="AK4" t="s">
        <v>23</v>
      </c>
      <c r="AU4" t="s">
        <v>87</v>
      </c>
      <c r="AV4" t="s">
        <v>86</v>
      </c>
      <c r="AW4" t="s">
        <v>85</v>
      </c>
      <c r="AX4" t="s">
        <v>84</v>
      </c>
    </row>
    <row r="5" spans="1:50" x14ac:dyDescent="0.2">
      <c r="A5">
        <f t="shared" ref="A5:A27" si="0">B5+C5*E5+D5*E5^2</f>
        <v>0.9388470000000001</v>
      </c>
      <c r="B5">
        <f t="shared" ref="B5:B27" si="1">(K5+L5*I5)*((M5+N5*I5)*F5+(O5+P5*I5)*G5+(Q5+R5*I5)*H5)</f>
        <v>0.96250000000000013</v>
      </c>
      <c r="C5">
        <f t="shared" ref="C5:C27" si="2">(K5+L5*I5)*(N5*J5*F5+P5*J5*G5+R5*J5*H5)+((M5+N5*I5)*F5+(O5+P5*I5)*G5+(Q5+R5*I5)*H5)*L5*J5</f>
        <v>2.3800000000000005E-2</v>
      </c>
      <c r="D5">
        <f t="shared" ref="D5:D27" si="3">L5*J5*(N5*J5*F5+P5*J5*G5+R5*J5*H5)</f>
        <v>1.4700000000000005E-4</v>
      </c>
      <c r="E5">
        <v>-1</v>
      </c>
      <c r="F5">
        <v>1</v>
      </c>
      <c r="G5">
        <v>1</v>
      </c>
      <c r="H5">
        <v>0</v>
      </c>
      <c r="I5">
        <v>-0.5</v>
      </c>
      <c r="J5">
        <v>-7.0000000000000007E-2</v>
      </c>
      <c r="K5">
        <v>1</v>
      </c>
      <c r="L5">
        <v>-0.2</v>
      </c>
      <c r="M5">
        <v>0.5</v>
      </c>
      <c r="N5">
        <v>-0.1</v>
      </c>
      <c r="O5">
        <v>0.3</v>
      </c>
      <c r="P5">
        <v>-0.05</v>
      </c>
      <c r="Q5">
        <v>0.3</v>
      </c>
      <c r="R5">
        <v>-0.05</v>
      </c>
      <c r="T5">
        <f t="shared" ref="T5:T27" si="4">U5+V5*X5+W5*X5^2</f>
        <v>0.60161199999999992</v>
      </c>
      <c r="U5">
        <f t="shared" ref="U5:U27" si="5">(AD5+AE5*AB5)*((AF5+AG5*AB5)*Y5+(AH5+AI5*AB5)*Z5+(AJ5+AK5*AB5)*AA5)</f>
        <v>0.59624999999999995</v>
      </c>
      <c r="V5">
        <f t="shared" ref="V5:V27" si="6">(AD5+AE5*AB5)*(AG5*AC5*Y5+AI5*AC5*Z5+AK5*AC5*AA5)+((AF5+AG5*AB5)*Y5+(AH5+AI5*AB5)*Z5+(AJ5+AK5*AB5)*AA5)*AE5*AC5</f>
        <v>-5.3499999999999997E-3</v>
      </c>
      <c r="W5">
        <f t="shared" ref="W5:W27" si="7">AE5*AC5*(AG5*AC5*Y5+AI5*AC5*Z5+AK5*AC5*AA5)</f>
        <v>1.2E-5</v>
      </c>
      <c r="X5">
        <v>-1</v>
      </c>
      <c r="Y5">
        <v>1</v>
      </c>
      <c r="Z5">
        <v>1</v>
      </c>
      <c r="AA5">
        <v>0</v>
      </c>
      <c r="AB5">
        <v>0.5</v>
      </c>
      <c r="AC5">
        <v>0.04</v>
      </c>
      <c r="AD5" s="1">
        <v>0.95</v>
      </c>
      <c r="AE5" s="1">
        <v>-0.1</v>
      </c>
      <c r="AF5" s="1">
        <v>0.45</v>
      </c>
      <c r="AG5" s="1">
        <v>-0.05</v>
      </c>
      <c r="AH5" s="1">
        <v>0.25</v>
      </c>
      <c r="AI5" s="1">
        <v>-2.5000000000000001E-2</v>
      </c>
      <c r="AJ5" s="1">
        <v>0.25</v>
      </c>
      <c r="AK5" s="1">
        <v>-2.5000000000000001E-2</v>
      </c>
      <c r="AU5">
        <f t="shared" ref="AU5:AU23" si="8">B5+C5*AW5+D5*AW5^2</f>
        <v>0.96464319070000015</v>
      </c>
      <c r="AV5">
        <f t="shared" ref="AV5:AV23" si="9">U5+V5*AW5+W5*AW5^2</f>
        <v>0.59576859719999997</v>
      </c>
      <c r="AW5">
        <v>0.09</v>
      </c>
      <c r="AX5">
        <v>1989</v>
      </c>
    </row>
    <row r="6" spans="1:50" x14ac:dyDescent="0.2">
      <c r="A6">
        <f t="shared" si="0"/>
        <v>0.94119907000000014</v>
      </c>
      <c r="B6">
        <f t="shared" si="1"/>
        <v>0.96250000000000013</v>
      </c>
      <c r="C6">
        <f t="shared" si="2"/>
        <v>2.3800000000000005E-2</v>
      </c>
      <c r="D6">
        <f t="shared" si="3"/>
        <v>1.4700000000000005E-4</v>
      </c>
      <c r="E6">
        <v>-0.9</v>
      </c>
      <c r="F6">
        <v>1</v>
      </c>
      <c r="G6">
        <v>1</v>
      </c>
      <c r="H6">
        <v>0</v>
      </c>
      <c r="I6">
        <v>-0.5</v>
      </c>
      <c r="J6">
        <v>-7.0000000000000007E-2</v>
      </c>
      <c r="K6">
        <v>1</v>
      </c>
      <c r="L6">
        <v>-0.2</v>
      </c>
      <c r="M6">
        <v>0.5</v>
      </c>
      <c r="N6">
        <v>-0.1</v>
      </c>
      <c r="O6">
        <v>0.3</v>
      </c>
      <c r="P6">
        <v>-0.05</v>
      </c>
      <c r="Q6">
        <v>0.3</v>
      </c>
      <c r="R6">
        <v>-0.05</v>
      </c>
      <c r="T6">
        <f t="shared" si="4"/>
        <v>0.60107471999999995</v>
      </c>
      <c r="U6">
        <f t="shared" si="5"/>
        <v>0.59624999999999995</v>
      </c>
      <c r="V6">
        <f t="shared" si="6"/>
        <v>-5.3499999999999997E-3</v>
      </c>
      <c r="W6">
        <f t="shared" si="7"/>
        <v>1.2E-5</v>
      </c>
      <c r="X6">
        <v>-0.9</v>
      </c>
      <c r="Y6">
        <v>1</v>
      </c>
      <c r="Z6">
        <v>1</v>
      </c>
      <c r="AA6">
        <v>0</v>
      </c>
      <c r="AB6">
        <v>0.5</v>
      </c>
      <c r="AC6">
        <v>0.04</v>
      </c>
      <c r="AD6" s="1">
        <v>0.95</v>
      </c>
      <c r="AE6" s="1">
        <v>-0.1</v>
      </c>
      <c r="AF6" s="1">
        <v>0.45</v>
      </c>
      <c r="AG6" s="1">
        <v>-0.05</v>
      </c>
      <c r="AH6" s="1">
        <v>0.25</v>
      </c>
      <c r="AI6" s="1">
        <v>-2.5000000000000001E-2</v>
      </c>
      <c r="AJ6" s="1">
        <v>0.25</v>
      </c>
      <c r="AK6" s="1">
        <v>-2.5000000000000001E-2</v>
      </c>
      <c r="AU6">
        <f t="shared" si="8"/>
        <v>0.96464319070000015</v>
      </c>
      <c r="AV6">
        <f t="shared" si="9"/>
        <v>0.59576859719999997</v>
      </c>
      <c r="AW6">
        <v>0.09</v>
      </c>
      <c r="AX6">
        <v>1991</v>
      </c>
    </row>
    <row r="7" spans="1:50" x14ac:dyDescent="0.2">
      <c r="A7">
        <f t="shared" si="0"/>
        <v>0.94355408000000007</v>
      </c>
      <c r="B7">
        <f t="shared" si="1"/>
        <v>0.96250000000000013</v>
      </c>
      <c r="C7">
        <f t="shared" si="2"/>
        <v>2.3800000000000005E-2</v>
      </c>
      <c r="D7">
        <f t="shared" si="3"/>
        <v>1.4700000000000005E-4</v>
      </c>
      <c r="E7">
        <v>-0.8</v>
      </c>
      <c r="F7">
        <v>1</v>
      </c>
      <c r="G7">
        <v>1</v>
      </c>
      <c r="H7">
        <v>0</v>
      </c>
      <c r="I7">
        <v>-0.5</v>
      </c>
      <c r="J7">
        <v>-7.0000000000000007E-2</v>
      </c>
      <c r="K7">
        <v>1</v>
      </c>
      <c r="L7">
        <v>-0.2</v>
      </c>
      <c r="M7">
        <v>0.5</v>
      </c>
      <c r="N7">
        <v>-0.1</v>
      </c>
      <c r="O7">
        <v>0.3</v>
      </c>
      <c r="P7">
        <v>-0.05</v>
      </c>
      <c r="Q7">
        <v>0.3</v>
      </c>
      <c r="R7">
        <v>-0.05</v>
      </c>
      <c r="T7">
        <f t="shared" si="4"/>
        <v>0.60053767999999985</v>
      </c>
      <c r="U7">
        <f t="shared" si="5"/>
        <v>0.59624999999999995</v>
      </c>
      <c r="V7">
        <f t="shared" si="6"/>
        <v>-5.3499999999999997E-3</v>
      </c>
      <c r="W7">
        <f t="shared" si="7"/>
        <v>1.2E-5</v>
      </c>
      <c r="X7">
        <v>-0.8</v>
      </c>
      <c r="Y7">
        <v>1</v>
      </c>
      <c r="Z7">
        <v>1</v>
      </c>
      <c r="AA7">
        <v>0</v>
      </c>
      <c r="AB7">
        <v>0.5</v>
      </c>
      <c r="AC7">
        <v>0.04</v>
      </c>
      <c r="AD7" s="1">
        <v>0.95</v>
      </c>
      <c r="AE7" s="1">
        <v>-0.1</v>
      </c>
      <c r="AF7" s="1">
        <v>0.45</v>
      </c>
      <c r="AG7" s="1">
        <v>-0.05</v>
      </c>
      <c r="AH7" s="1">
        <v>0.25</v>
      </c>
      <c r="AI7" s="1">
        <v>-2.5000000000000001E-2</v>
      </c>
      <c r="AJ7" s="1">
        <v>0.25</v>
      </c>
      <c r="AK7" s="1">
        <v>-2.5000000000000001E-2</v>
      </c>
      <c r="AU7">
        <f t="shared" si="8"/>
        <v>0.9388470000000001</v>
      </c>
      <c r="AV7">
        <f t="shared" si="9"/>
        <v>0.60161199999999992</v>
      </c>
      <c r="AW7">
        <v>-1</v>
      </c>
      <c r="AX7">
        <v>1993</v>
      </c>
    </row>
    <row r="8" spans="1:50" x14ac:dyDescent="0.2">
      <c r="A8">
        <f t="shared" si="0"/>
        <v>0.94591203000000013</v>
      </c>
      <c r="B8">
        <f t="shared" si="1"/>
        <v>0.96250000000000013</v>
      </c>
      <c r="C8">
        <f t="shared" si="2"/>
        <v>2.3800000000000005E-2</v>
      </c>
      <c r="D8">
        <f t="shared" si="3"/>
        <v>1.4700000000000005E-4</v>
      </c>
      <c r="E8">
        <v>-0.7</v>
      </c>
      <c r="F8">
        <v>1</v>
      </c>
      <c r="G8">
        <v>1</v>
      </c>
      <c r="H8">
        <v>0</v>
      </c>
      <c r="I8">
        <v>-0.5</v>
      </c>
      <c r="J8">
        <v>-7.0000000000000007E-2</v>
      </c>
      <c r="K8">
        <v>1</v>
      </c>
      <c r="L8">
        <v>-0.2</v>
      </c>
      <c r="M8">
        <v>0.5</v>
      </c>
      <c r="N8">
        <v>-0.1</v>
      </c>
      <c r="O8">
        <v>0.3</v>
      </c>
      <c r="P8">
        <v>-0.05</v>
      </c>
      <c r="Q8">
        <v>0.3</v>
      </c>
      <c r="R8">
        <v>-0.05</v>
      </c>
      <c r="T8">
        <f t="shared" si="4"/>
        <v>0.60000087999999996</v>
      </c>
      <c r="U8">
        <f t="shared" si="5"/>
        <v>0.59624999999999995</v>
      </c>
      <c r="V8">
        <f t="shared" si="6"/>
        <v>-5.3499999999999997E-3</v>
      </c>
      <c r="W8">
        <f t="shared" si="7"/>
        <v>1.2E-5</v>
      </c>
      <c r="X8">
        <v>-0.7</v>
      </c>
      <c r="Y8">
        <v>1</v>
      </c>
      <c r="Z8">
        <v>1</v>
      </c>
      <c r="AA8">
        <v>0</v>
      </c>
      <c r="AB8">
        <v>0.5</v>
      </c>
      <c r="AC8">
        <v>0.04</v>
      </c>
      <c r="AD8" s="1">
        <v>0.95</v>
      </c>
      <c r="AE8" s="1">
        <v>-0.1</v>
      </c>
      <c r="AF8" s="1">
        <v>0.45</v>
      </c>
      <c r="AG8" s="1">
        <v>-0.05</v>
      </c>
      <c r="AH8" s="1">
        <v>0.25</v>
      </c>
      <c r="AI8" s="1">
        <v>-2.5000000000000001E-2</v>
      </c>
      <c r="AJ8" s="1">
        <v>0.25</v>
      </c>
      <c r="AK8" s="1">
        <v>-2.5000000000000001E-2</v>
      </c>
      <c r="AU8">
        <f t="shared" si="8"/>
        <v>0.9603591907000002</v>
      </c>
      <c r="AV8">
        <f t="shared" si="9"/>
        <v>0.59673159720000002</v>
      </c>
      <c r="AW8">
        <v>-0.09</v>
      </c>
      <c r="AX8">
        <v>1995</v>
      </c>
    </row>
    <row r="9" spans="1:50" x14ac:dyDescent="0.2">
      <c r="A9">
        <f t="shared" si="0"/>
        <v>0.94827292000000019</v>
      </c>
      <c r="B9">
        <f t="shared" si="1"/>
        <v>0.96250000000000013</v>
      </c>
      <c r="C9">
        <f t="shared" si="2"/>
        <v>2.3800000000000005E-2</v>
      </c>
      <c r="D9">
        <f t="shared" si="3"/>
        <v>1.4700000000000005E-4</v>
      </c>
      <c r="E9">
        <v>-0.6</v>
      </c>
      <c r="F9">
        <v>1</v>
      </c>
      <c r="G9">
        <v>1</v>
      </c>
      <c r="H9">
        <v>0</v>
      </c>
      <c r="I9">
        <v>-0.5</v>
      </c>
      <c r="J9">
        <v>-7.0000000000000007E-2</v>
      </c>
      <c r="K9">
        <v>1</v>
      </c>
      <c r="L9">
        <v>-0.2</v>
      </c>
      <c r="M9">
        <v>0.5</v>
      </c>
      <c r="N9">
        <v>-0.1</v>
      </c>
      <c r="O9">
        <v>0.3</v>
      </c>
      <c r="P9">
        <v>-0.05</v>
      </c>
      <c r="Q9">
        <v>0.3</v>
      </c>
      <c r="R9">
        <v>-0.05</v>
      </c>
      <c r="T9">
        <f t="shared" si="4"/>
        <v>0.59946431999999994</v>
      </c>
      <c r="U9">
        <f t="shared" si="5"/>
        <v>0.59624999999999995</v>
      </c>
      <c r="V9">
        <f t="shared" si="6"/>
        <v>-5.3499999999999997E-3</v>
      </c>
      <c r="W9">
        <f t="shared" si="7"/>
        <v>1.2E-5</v>
      </c>
      <c r="X9">
        <v>-0.6</v>
      </c>
      <c r="Y9">
        <v>1</v>
      </c>
      <c r="Z9">
        <v>1</v>
      </c>
      <c r="AA9">
        <v>0</v>
      </c>
      <c r="AB9">
        <v>0.5</v>
      </c>
      <c r="AC9">
        <v>0.04</v>
      </c>
      <c r="AD9" s="1">
        <v>0.95</v>
      </c>
      <c r="AE9" s="1">
        <v>-0.1</v>
      </c>
      <c r="AF9" s="1">
        <v>0.45</v>
      </c>
      <c r="AG9" s="1">
        <v>-0.05</v>
      </c>
      <c r="AH9" s="1">
        <v>0.25</v>
      </c>
      <c r="AI9" s="1">
        <v>-2.5000000000000001E-2</v>
      </c>
      <c r="AJ9" s="1">
        <v>0.25</v>
      </c>
      <c r="AK9" s="1">
        <v>-2.5000000000000001E-2</v>
      </c>
      <c r="AU9">
        <f t="shared" si="8"/>
        <v>0.9603591907000002</v>
      </c>
      <c r="AV9">
        <f t="shared" si="9"/>
        <v>0.59673159720000002</v>
      </c>
      <c r="AW9">
        <v>-0.09</v>
      </c>
      <c r="AX9">
        <v>1997</v>
      </c>
    </row>
    <row r="10" spans="1:50" x14ac:dyDescent="0.2">
      <c r="A10">
        <f t="shared" si="0"/>
        <v>0.95063675000000014</v>
      </c>
      <c r="B10">
        <f t="shared" si="1"/>
        <v>0.96250000000000013</v>
      </c>
      <c r="C10">
        <f t="shared" si="2"/>
        <v>2.3800000000000005E-2</v>
      </c>
      <c r="D10">
        <f t="shared" si="3"/>
        <v>1.4700000000000005E-4</v>
      </c>
      <c r="E10">
        <v>-0.5</v>
      </c>
      <c r="F10">
        <v>1</v>
      </c>
      <c r="G10">
        <v>1</v>
      </c>
      <c r="H10">
        <v>0</v>
      </c>
      <c r="I10">
        <v>-0.5</v>
      </c>
      <c r="J10">
        <v>-7.0000000000000007E-2</v>
      </c>
      <c r="K10">
        <v>1</v>
      </c>
      <c r="L10">
        <v>-0.2</v>
      </c>
      <c r="M10">
        <v>0.5</v>
      </c>
      <c r="N10">
        <v>-0.1</v>
      </c>
      <c r="O10">
        <v>0.3</v>
      </c>
      <c r="P10">
        <v>-0.05</v>
      </c>
      <c r="Q10">
        <v>0.3</v>
      </c>
      <c r="R10">
        <v>-0.05</v>
      </c>
      <c r="T10">
        <f t="shared" si="4"/>
        <v>0.5989279999999999</v>
      </c>
      <c r="U10">
        <f t="shared" si="5"/>
        <v>0.59624999999999995</v>
      </c>
      <c r="V10">
        <f t="shared" si="6"/>
        <v>-5.3499999999999997E-3</v>
      </c>
      <c r="W10">
        <f t="shared" si="7"/>
        <v>1.2E-5</v>
      </c>
      <c r="X10">
        <v>-0.5</v>
      </c>
      <c r="Y10">
        <v>1</v>
      </c>
      <c r="Z10">
        <v>1</v>
      </c>
      <c r="AA10">
        <v>0</v>
      </c>
      <c r="AB10">
        <v>0.5</v>
      </c>
      <c r="AC10">
        <v>0.04</v>
      </c>
      <c r="AD10" s="1">
        <v>0.95</v>
      </c>
      <c r="AE10" s="1">
        <v>-0.1</v>
      </c>
      <c r="AF10" s="1">
        <v>0.45</v>
      </c>
      <c r="AG10" s="1">
        <v>-0.05</v>
      </c>
      <c r="AH10" s="1">
        <v>0.25</v>
      </c>
      <c r="AI10" s="1">
        <v>-2.5000000000000001E-2</v>
      </c>
      <c r="AJ10" s="1">
        <v>0.25</v>
      </c>
      <c r="AK10" s="1">
        <v>-2.5000000000000001E-2</v>
      </c>
      <c r="AU10">
        <f t="shared" si="8"/>
        <v>0.9603591907000002</v>
      </c>
      <c r="AV10">
        <f t="shared" si="9"/>
        <v>0.59673159720000002</v>
      </c>
      <c r="AW10">
        <v>-0.09</v>
      </c>
      <c r="AX10">
        <v>1999</v>
      </c>
    </row>
    <row r="11" spans="1:50" x14ac:dyDescent="0.2">
      <c r="A11">
        <f t="shared" si="0"/>
        <v>0.95300352000000021</v>
      </c>
      <c r="B11">
        <f t="shared" si="1"/>
        <v>0.96250000000000013</v>
      </c>
      <c r="C11">
        <f t="shared" si="2"/>
        <v>2.3800000000000005E-2</v>
      </c>
      <c r="D11">
        <f t="shared" si="3"/>
        <v>1.4700000000000005E-4</v>
      </c>
      <c r="E11">
        <v>-0.4</v>
      </c>
      <c r="F11">
        <v>1</v>
      </c>
      <c r="G11">
        <v>1</v>
      </c>
      <c r="H11">
        <v>0</v>
      </c>
      <c r="I11">
        <v>-0.5</v>
      </c>
      <c r="J11">
        <v>-7.0000000000000007E-2</v>
      </c>
      <c r="K11">
        <v>1</v>
      </c>
      <c r="L11">
        <v>-0.2</v>
      </c>
      <c r="M11">
        <v>0.5</v>
      </c>
      <c r="N11">
        <v>-0.1</v>
      </c>
      <c r="O11">
        <v>0.3</v>
      </c>
      <c r="P11">
        <v>-0.05</v>
      </c>
      <c r="Q11">
        <v>0.3</v>
      </c>
      <c r="R11">
        <v>-0.05</v>
      </c>
      <c r="T11">
        <f t="shared" si="4"/>
        <v>0.59839191999999997</v>
      </c>
      <c r="U11">
        <f t="shared" si="5"/>
        <v>0.59624999999999995</v>
      </c>
      <c r="V11">
        <f t="shared" si="6"/>
        <v>-5.3499999999999997E-3</v>
      </c>
      <c r="W11">
        <f t="shared" si="7"/>
        <v>1.2E-5</v>
      </c>
      <c r="X11">
        <v>-0.4</v>
      </c>
      <c r="Y11">
        <v>1</v>
      </c>
      <c r="Z11">
        <v>1</v>
      </c>
      <c r="AA11">
        <v>0</v>
      </c>
      <c r="AB11">
        <v>0.5</v>
      </c>
      <c r="AC11">
        <v>0.04</v>
      </c>
      <c r="AD11" s="1">
        <v>0.95</v>
      </c>
      <c r="AE11" s="1">
        <v>-0.1</v>
      </c>
      <c r="AF11" s="1">
        <v>0.45</v>
      </c>
      <c r="AG11" s="1">
        <v>-0.05</v>
      </c>
      <c r="AH11" s="1">
        <v>0.25</v>
      </c>
      <c r="AI11" s="1">
        <v>-2.5000000000000001E-2</v>
      </c>
      <c r="AJ11" s="1">
        <v>0.25</v>
      </c>
      <c r="AK11" s="1">
        <v>-2.5000000000000001E-2</v>
      </c>
      <c r="AU11">
        <f t="shared" si="8"/>
        <v>0.98211484280000017</v>
      </c>
      <c r="AV11">
        <f t="shared" si="9"/>
        <v>0.59187106879999996</v>
      </c>
      <c r="AW11">
        <v>0.82</v>
      </c>
      <c r="AX11">
        <v>2001</v>
      </c>
    </row>
    <row r="12" spans="1:50" x14ac:dyDescent="0.2">
      <c r="A12">
        <f t="shared" si="0"/>
        <v>0.95537323000000007</v>
      </c>
      <c r="B12">
        <f t="shared" si="1"/>
        <v>0.96250000000000013</v>
      </c>
      <c r="C12">
        <f t="shared" si="2"/>
        <v>2.3800000000000005E-2</v>
      </c>
      <c r="D12">
        <f t="shared" si="3"/>
        <v>1.4700000000000005E-4</v>
      </c>
      <c r="E12">
        <v>-0.3</v>
      </c>
      <c r="F12">
        <v>1</v>
      </c>
      <c r="G12">
        <v>1</v>
      </c>
      <c r="H12">
        <v>0</v>
      </c>
      <c r="I12">
        <v>-0.5</v>
      </c>
      <c r="J12">
        <v>-7.0000000000000007E-2</v>
      </c>
      <c r="K12">
        <v>1</v>
      </c>
      <c r="L12">
        <v>-0.2</v>
      </c>
      <c r="M12">
        <v>0.5</v>
      </c>
      <c r="N12">
        <v>-0.1</v>
      </c>
      <c r="O12">
        <v>0.3</v>
      </c>
      <c r="P12">
        <v>-0.05</v>
      </c>
      <c r="Q12">
        <v>0.3</v>
      </c>
      <c r="R12">
        <v>-0.05</v>
      </c>
      <c r="T12">
        <f t="shared" si="4"/>
        <v>0.5978560799999999</v>
      </c>
      <c r="U12">
        <f t="shared" si="5"/>
        <v>0.59624999999999995</v>
      </c>
      <c r="V12">
        <f t="shared" si="6"/>
        <v>-5.3499999999999997E-3</v>
      </c>
      <c r="W12">
        <f t="shared" si="7"/>
        <v>1.2E-5</v>
      </c>
      <c r="X12">
        <v>-0.3</v>
      </c>
      <c r="Y12">
        <v>1</v>
      </c>
      <c r="Z12">
        <v>1</v>
      </c>
      <c r="AA12">
        <v>0</v>
      </c>
      <c r="AB12">
        <v>0.5</v>
      </c>
      <c r="AC12">
        <v>0.04</v>
      </c>
      <c r="AD12" s="1">
        <v>0.95</v>
      </c>
      <c r="AE12" s="1">
        <v>-0.1</v>
      </c>
      <c r="AF12" s="1">
        <v>0.45</v>
      </c>
      <c r="AG12" s="1">
        <v>-0.05</v>
      </c>
      <c r="AH12" s="1">
        <v>0.25</v>
      </c>
      <c r="AI12" s="1">
        <v>-2.5000000000000001E-2</v>
      </c>
      <c r="AJ12" s="1">
        <v>0.25</v>
      </c>
      <c r="AK12" s="1">
        <v>-2.5000000000000001E-2</v>
      </c>
      <c r="AU12">
        <f t="shared" si="8"/>
        <v>0.98644700000000018</v>
      </c>
      <c r="AV12">
        <f t="shared" si="9"/>
        <v>0.59091199999999999</v>
      </c>
      <c r="AW12">
        <v>1</v>
      </c>
      <c r="AX12">
        <v>2003</v>
      </c>
    </row>
    <row r="13" spans="1:50" x14ac:dyDescent="0.2">
      <c r="A13">
        <f t="shared" si="0"/>
        <v>0.95774588000000016</v>
      </c>
      <c r="B13">
        <f t="shared" si="1"/>
        <v>0.96250000000000013</v>
      </c>
      <c r="C13">
        <f t="shared" si="2"/>
        <v>2.3800000000000005E-2</v>
      </c>
      <c r="D13">
        <f t="shared" si="3"/>
        <v>1.4700000000000005E-4</v>
      </c>
      <c r="E13">
        <v>-0.2</v>
      </c>
      <c r="F13">
        <v>1</v>
      </c>
      <c r="G13">
        <v>1</v>
      </c>
      <c r="H13">
        <v>0</v>
      </c>
      <c r="I13">
        <v>-0.5</v>
      </c>
      <c r="J13">
        <v>-7.0000000000000007E-2</v>
      </c>
      <c r="K13">
        <v>1</v>
      </c>
      <c r="L13">
        <v>-0.2</v>
      </c>
      <c r="M13">
        <v>0.5</v>
      </c>
      <c r="N13">
        <v>-0.1</v>
      </c>
      <c r="O13">
        <v>0.3</v>
      </c>
      <c r="P13">
        <v>-0.05</v>
      </c>
      <c r="Q13">
        <v>0.3</v>
      </c>
      <c r="R13">
        <v>-0.05</v>
      </c>
      <c r="T13">
        <f t="shared" si="4"/>
        <v>0.59732047999999993</v>
      </c>
      <c r="U13">
        <f t="shared" si="5"/>
        <v>0.59624999999999995</v>
      </c>
      <c r="V13">
        <f t="shared" si="6"/>
        <v>-5.3499999999999997E-3</v>
      </c>
      <c r="W13">
        <f t="shared" si="7"/>
        <v>1.2E-5</v>
      </c>
      <c r="X13">
        <v>-0.2</v>
      </c>
      <c r="Y13">
        <v>1</v>
      </c>
      <c r="Z13">
        <v>1</v>
      </c>
      <c r="AA13">
        <v>0</v>
      </c>
      <c r="AB13">
        <v>0.5</v>
      </c>
      <c r="AC13">
        <v>0.04</v>
      </c>
      <c r="AD13" s="1">
        <v>0.95</v>
      </c>
      <c r="AE13" s="1">
        <v>-0.1</v>
      </c>
      <c r="AF13" s="1">
        <v>0.45</v>
      </c>
      <c r="AG13" s="1">
        <v>-0.05</v>
      </c>
      <c r="AH13" s="1">
        <v>0.25</v>
      </c>
      <c r="AI13" s="1">
        <v>-2.5000000000000001E-2</v>
      </c>
      <c r="AJ13" s="1">
        <v>0.25</v>
      </c>
      <c r="AK13" s="1">
        <v>-2.5000000000000001E-2</v>
      </c>
      <c r="AU13">
        <f t="shared" si="8"/>
        <v>0.98644700000000018</v>
      </c>
      <c r="AV13">
        <f t="shared" si="9"/>
        <v>0.59091199999999999</v>
      </c>
      <c r="AW13">
        <v>1</v>
      </c>
      <c r="AX13">
        <v>2005</v>
      </c>
    </row>
    <row r="14" spans="1:50" x14ac:dyDescent="0.2">
      <c r="A14">
        <f t="shared" si="0"/>
        <v>0.96012147000000003</v>
      </c>
      <c r="B14">
        <f t="shared" si="1"/>
        <v>0.96250000000000013</v>
      </c>
      <c r="C14">
        <f t="shared" si="2"/>
        <v>2.3800000000000005E-2</v>
      </c>
      <c r="D14">
        <f t="shared" si="3"/>
        <v>1.4700000000000005E-4</v>
      </c>
      <c r="E14">
        <v>-0.1</v>
      </c>
      <c r="F14">
        <v>1</v>
      </c>
      <c r="G14">
        <v>1</v>
      </c>
      <c r="H14">
        <v>0</v>
      </c>
      <c r="I14">
        <v>-0.5</v>
      </c>
      <c r="J14">
        <v>-7.0000000000000007E-2</v>
      </c>
      <c r="K14">
        <v>1</v>
      </c>
      <c r="L14">
        <v>-0.2</v>
      </c>
      <c r="M14">
        <v>0.5</v>
      </c>
      <c r="N14">
        <v>-0.1</v>
      </c>
      <c r="O14">
        <v>0.3</v>
      </c>
      <c r="P14">
        <v>-0.05</v>
      </c>
      <c r="Q14">
        <v>0.3</v>
      </c>
      <c r="R14">
        <v>-0.05</v>
      </c>
      <c r="T14">
        <f t="shared" si="4"/>
        <v>0.59678511999999995</v>
      </c>
      <c r="U14">
        <f t="shared" si="5"/>
        <v>0.59624999999999995</v>
      </c>
      <c r="V14">
        <f t="shared" si="6"/>
        <v>-5.3499999999999997E-3</v>
      </c>
      <c r="W14">
        <f t="shared" si="7"/>
        <v>1.2E-5</v>
      </c>
      <c r="X14">
        <v>-0.1</v>
      </c>
      <c r="Y14">
        <v>1</v>
      </c>
      <c r="Z14">
        <v>1</v>
      </c>
      <c r="AA14">
        <v>0</v>
      </c>
      <c r="AB14">
        <v>0.5</v>
      </c>
      <c r="AC14">
        <v>0.04</v>
      </c>
      <c r="AD14" s="1">
        <v>0.95</v>
      </c>
      <c r="AE14" s="1">
        <v>-0.1</v>
      </c>
      <c r="AF14" s="1">
        <v>0.45</v>
      </c>
      <c r="AG14" s="1">
        <v>-0.05</v>
      </c>
      <c r="AH14" s="1">
        <v>0.25</v>
      </c>
      <c r="AI14" s="1">
        <v>-2.5000000000000001E-2</v>
      </c>
      <c r="AJ14" s="1">
        <v>0.25</v>
      </c>
      <c r="AK14" s="1">
        <v>-2.5000000000000001E-2</v>
      </c>
      <c r="AU14">
        <f t="shared" si="8"/>
        <v>0.96893671630000022</v>
      </c>
      <c r="AV14">
        <f t="shared" si="9"/>
        <v>0.59480637479999998</v>
      </c>
      <c r="AW14">
        <v>0.27</v>
      </c>
      <c r="AX14">
        <v>2007</v>
      </c>
    </row>
    <row r="15" spans="1:50" x14ac:dyDescent="0.2">
      <c r="A15">
        <f t="shared" si="0"/>
        <v>0.96250000000000013</v>
      </c>
      <c r="B15">
        <f t="shared" si="1"/>
        <v>0.96250000000000013</v>
      </c>
      <c r="C15">
        <f t="shared" si="2"/>
        <v>2.3800000000000005E-2</v>
      </c>
      <c r="D15">
        <f t="shared" si="3"/>
        <v>1.4700000000000005E-4</v>
      </c>
      <c r="E15">
        <v>0</v>
      </c>
      <c r="F15">
        <v>1</v>
      </c>
      <c r="G15">
        <v>1</v>
      </c>
      <c r="H15">
        <v>0</v>
      </c>
      <c r="I15">
        <v>-0.5</v>
      </c>
      <c r="J15">
        <v>-7.0000000000000007E-2</v>
      </c>
      <c r="K15">
        <v>1</v>
      </c>
      <c r="L15">
        <v>-0.2</v>
      </c>
      <c r="M15">
        <v>0.5</v>
      </c>
      <c r="N15">
        <v>-0.1</v>
      </c>
      <c r="O15">
        <v>0.3</v>
      </c>
      <c r="P15">
        <v>-0.05</v>
      </c>
      <c r="Q15">
        <v>0.3</v>
      </c>
      <c r="R15">
        <v>-0.05</v>
      </c>
      <c r="T15">
        <f t="shared" si="4"/>
        <v>0.59624999999999995</v>
      </c>
      <c r="U15">
        <f t="shared" si="5"/>
        <v>0.59624999999999995</v>
      </c>
      <c r="V15">
        <f t="shared" si="6"/>
        <v>-5.3499999999999997E-3</v>
      </c>
      <c r="W15">
        <f t="shared" si="7"/>
        <v>1.2E-5</v>
      </c>
      <c r="X15">
        <v>0</v>
      </c>
      <c r="Y15">
        <v>1</v>
      </c>
      <c r="Z15">
        <v>1</v>
      </c>
      <c r="AA15">
        <v>0</v>
      </c>
      <c r="AB15">
        <v>0.5</v>
      </c>
      <c r="AC15">
        <v>0.04</v>
      </c>
      <c r="AD15" s="1">
        <v>0.95</v>
      </c>
      <c r="AE15" s="1">
        <v>-0.1</v>
      </c>
      <c r="AF15" s="1">
        <v>0.45</v>
      </c>
      <c r="AG15" s="1">
        <v>-0.05</v>
      </c>
      <c r="AH15" s="1">
        <v>0.25</v>
      </c>
      <c r="AI15" s="1">
        <v>-2.5000000000000001E-2</v>
      </c>
      <c r="AJ15" s="1">
        <v>0.25</v>
      </c>
      <c r="AK15" s="1">
        <v>-2.5000000000000001E-2</v>
      </c>
      <c r="AU15">
        <f t="shared" si="8"/>
        <v>0.9388470000000001</v>
      </c>
      <c r="AV15">
        <f t="shared" si="9"/>
        <v>0.60161199999999992</v>
      </c>
      <c r="AW15">
        <v>-1</v>
      </c>
      <c r="AX15">
        <v>2009</v>
      </c>
    </row>
    <row r="16" spans="1:50" x14ac:dyDescent="0.2">
      <c r="A16">
        <f t="shared" si="0"/>
        <v>0.96488147000000013</v>
      </c>
      <c r="B16">
        <f t="shared" si="1"/>
        <v>0.96250000000000013</v>
      </c>
      <c r="C16">
        <f t="shared" si="2"/>
        <v>2.3800000000000005E-2</v>
      </c>
      <c r="D16">
        <f t="shared" si="3"/>
        <v>1.4700000000000005E-4</v>
      </c>
      <c r="E16">
        <v>0.1</v>
      </c>
      <c r="F16">
        <v>1</v>
      </c>
      <c r="G16">
        <v>1</v>
      </c>
      <c r="H16">
        <v>0</v>
      </c>
      <c r="I16">
        <v>-0.5</v>
      </c>
      <c r="J16">
        <v>-7.0000000000000007E-2</v>
      </c>
      <c r="K16">
        <v>1</v>
      </c>
      <c r="L16">
        <v>-0.2</v>
      </c>
      <c r="M16">
        <v>0.5</v>
      </c>
      <c r="N16">
        <v>-0.1</v>
      </c>
      <c r="O16">
        <v>0.3</v>
      </c>
      <c r="P16">
        <v>-0.05</v>
      </c>
      <c r="Q16">
        <v>0.3</v>
      </c>
      <c r="R16">
        <v>-0.05</v>
      </c>
      <c r="T16">
        <f t="shared" si="4"/>
        <v>0.59571512000000004</v>
      </c>
      <c r="U16">
        <f t="shared" si="5"/>
        <v>0.59624999999999995</v>
      </c>
      <c r="V16">
        <f t="shared" si="6"/>
        <v>-5.3499999999999997E-3</v>
      </c>
      <c r="W16">
        <f t="shared" si="7"/>
        <v>1.2E-5</v>
      </c>
      <c r="X16">
        <v>0.1</v>
      </c>
      <c r="Y16">
        <v>1</v>
      </c>
      <c r="Z16">
        <v>1</v>
      </c>
      <c r="AA16">
        <v>0</v>
      </c>
      <c r="AB16">
        <v>0.5</v>
      </c>
      <c r="AC16">
        <v>0.04</v>
      </c>
      <c r="AD16" s="1">
        <v>0.95</v>
      </c>
      <c r="AE16" s="1">
        <v>-0.1</v>
      </c>
      <c r="AF16" s="1">
        <v>0.45</v>
      </c>
      <c r="AG16" s="1">
        <v>-0.05</v>
      </c>
      <c r="AH16" s="1">
        <v>0.25</v>
      </c>
      <c r="AI16" s="1">
        <v>-2.5000000000000001E-2</v>
      </c>
      <c r="AJ16" s="1">
        <v>0.25</v>
      </c>
      <c r="AK16" s="1">
        <v>-2.5000000000000001E-2</v>
      </c>
      <c r="AU16">
        <f t="shared" si="8"/>
        <v>0.95181976750000019</v>
      </c>
      <c r="AV16">
        <f t="shared" si="9"/>
        <v>0.59865992999999995</v>
      </c>
      <c r="AW16">
        <v>-0.45</v>
      </c>
      <c r="AX16">
        <v>2011</v>
      </c>
    </row>
    <row r="17" spans="1:50" x14ac:dyDescent="0.2">
      <c r="A17">
        <f t="shared" si="0"/>
        <v>0.96726588000000013</v>
      </c>
      <c r="B17">
        <f t="shared" si="1"/>
        <v>0.96250000000000013</v>
      </c>
      <c r="C17">
        <f t="shared" si="2"/>
        <v>2.3800000000000005E-2</v>
      </c>
      <c r="D17">
        <f t="shared" si="3"/>
        <v>1.4700000000000005E-4</v>
      </c>
      <c r="E17">
        <v>0.2</v>
      </c>
      <c r="F17">
        <v>1</v>
      </c>
      <c r="G17">
        <v>1</v>
      </c>
      <c r="H17">
        <v>0</v>
      </c>
      <c r="I17">
        <v>-0.5</v>
      </c>
      <c r="J17">
        <v>-7.0000000000000007E-2</v>
      </c>
      <c r="K17">
        <v>1</v>
      </c>
      <c r="L17">
        <v>-0.2</v>
      </c>
      <c r="M17">
        <v>0.5</v>
      </c>
      <c r="N17">
        <v>-0.1</v>
      </c>
      <c r="O17">
        <v>0.3</v>
      </c>
      <c r="P17">
        <v>-0.05</v>
      </c>
      <c r="Q17">
        <v>0.3</v>
      </c>
      <c r="R17">
        <v>-0.05</v>
      </c>
      <c r="T17">
        <f t="shared" si="4"/>
        <v>0.5951804799999999</v>
      </c>
      <c r="U17">
        <f t="shared" si="5"/>
        <v>0.59624999999999995</v>
      </c>
      <c r="V17">
        <f t="shared" si="6"/>
        <v>-5.3499999999999997E-3</v>
      </c>
      <c r="W17">
        <f t="shared" si="7"/>
        <v>1.2E-5</v>
      </c>
      <c r="X17">
        <v>0.2</v>
      </c>
      <c r="Y17">
        <v>1</v>
      </c>
      <c r="Z17">
        <v>1</v>
      </c>
      <c r="AA17">
        <v>0</v>
      </c>
      <c r="AB17">
        <v>0.5</v>
      </c>
      <c r="AC17">
        <v>0.04</v>
      </c>
      <c r="AD17" s="1">
        <v>0.95</v>
      </c>
      <c r="AE17" s="1">
        <v>-0.1</v>
      </c>
      <c r="AF17" s="1">
        <v>0.45</v>
      </c>
      <c r="AG17" s="1">
        <v>-0.05</v>
      </c>
      <c r="AH17" s="1">
        <v>0.25</v>
      </c>
      <c r="AI17" s="1">
        <v>-2.5000000000000001E-2</v>
      </c>
      <c r="AJ17" s="1">
        <v>0.25</v>
      </c>
      <c r="AK17" s="1">
        <v>-2.5000000000000001E-2</v>
      </c>
      <c r="AU17">
        <f t="shared" si="8"/>
        <v>0.95181976750000019</v>
      </c>
      <c r="AV17">
        <f t="shared" si="9"/>
        <v>0.59865992999999995</v>
      </c>
      <c r="AW17">
        <v>-0.45</v>
      </c>
      <c r="AX17">
        <v>2013</v>
      </c>
    </row>
    <row r="18" spans="1:50" x14ac:dyDescent="0.2">
      <c r="A18">
        <f t="shared" si="0"/>
        <v>0.96965323000000014</v>
      </c>
      <c r="B18">
        <f t="shared" si="1"/>
        <v>0.96250000000000013</v>
      </c>
      <c r="C18">
        <f t="shared" si="2"/>
        <v>2.3800000000000005E-2</v>
      </c>
      <c r="D18">
        <f t="shared" si="3"/>
        <v>1.4700000000000005E-4</v>
      </c>
      <c r="E18">
        <v>0.3</v>
      </c>
      <c r="F18">
        <v>1</v>
      </c>
      <c r="G18">
        <v>1</v>
      </c>
      <c r="H18">
        <v>0</v>
      </c>
      <c r="I18">
        <v>-0.5</v>
      </c>
      <c r="J18">
        <v>-7.0000000000000007E-2</v>
      </c>
      <c r="K18">
        <v>1</v>
      </c>
      <c r="L18">
        <v>-0.2</v>
      </c>
      <c r="M18">
        <v>0.5</v>
      </c>
      <c r="N18">
        <v>-0.1</v>
      </c>
      <c r="O18">
        <v>0.3</v>
      </c>
      <c r="P18">
        <v>-0.05</v>
      </c>
      <c r="Q18">
        <v>0.3</v>
      </c>
      <c r="R18">
        <v>-0.05</v>
      </c>
      <c r="T18">
        <f t="shared" si="4"/>
        <v>0.59464607999999997</v>
      </c>
      <c r="U18">
        <f t="shared" si="5"/>
        <v>0.59624999999999995</v>
      </c>
      <c r="V18">
        <f t="shared" si="6"/>
        <v>-5.3499999999999997E-3</v>
      </c>
      <c r="W18">
        <f t="shared" si="7"/>
        <v>1.2E-5</v>
      </c>
      <c r="X18">
        <v>0.3</v>
      </c>
      <c r="Y18">
        <v>1</v>
      </c>
      <c r="Z18">
        <v>1</v>
      </c>
      <c r="AA18">
        <v>0</v>
      </c>
      <c r="AB18">
        <v>0.5</v>
      </c>
      <c r="AC18">
        <v>0.04</v>
      </c>
      <c r="AD18" s="1">
        <v>0.95</v>
      </c>
      <c r="AE18" s="1">
        <v>-0.1</v>
      </c>
      <c r="AF18" s="1">
        <v>0.45</v>
      </c>
      <c r="AG18" s="1">
        <v>-0.05</v>
      </c>
      <c r="AH18" s="1">
        <v>0.25</v>
      </c>
      <c r="AI18" s="1">
        <v>-2.5000000000000001E-2</v>
      </c>
      <c r="AJ18" s="1">
        <v>0.25</v>
      </c>
      <c r="AK18" s="1">
        <v>-2.5000000000000001E-2</v>
      </c>
      <c r="AU18">
        <f t="shared" si="8"/>
        <v>0.9603591907000002</v>
      </c>
      <c r="AV18">
        <f t="shared" si="9"/>
        <v>0.59673159720000002</v>
      </c>
      <c r="AW18">
        <v>-0.09</v>
      </c>
      <c r="AX18">
        <v>2015</v>
      </c>
    </row>
    <row r="19" spans="1:50" x14ac:dyDescent="0.2">
      <c r="A19">
        <f t="shared" si="0"/>
        <v>0.97204352000000016</v>
      </c>
      <c r="B19">
        <f t="shared" si="1"/>
        <v>0.96250000000000013</v>
      </c>
      <c r="C19">
        <f t="shared" si="2"/>
        <v>2.3800000000000005E-2</v>
      </c>
      <c r="D19">
        <f t="shared" si="3"/>
        <v>1.4700000000000005E-4</v>
      </c>
      <c r="E19">
        <v>0.4</v>
      </c>
      <c r="F19">
        <v>1</v>
      </c>
      <c r="G19">
        <v>1</v>
      </c>
      <c r="H19">
        <v>0</v>
      </c>
      <c r="I19">
        <v>-0.5</v>
      </c>
      <c r="J19">
        <v>-7.0000000000000007E-2</v>
      </c>
      <c r="K19">
        <v>1</v>
      </c>
      <c r="L19">
        <v>-0.2</v>
      </c>
      <c r="M19">
        <v>0.5</v>
      </c>
      <c r="N19">
        <v>-0.1</v>
      </c>
      <c r="O19">
        <v>0.3</v>
      </c>
      <c r="P19">
        <v>-0.05</v>
      </c>
      <c r="Q19">
        <v>0.3</v>
      </c>
      <c r="R19">
        <v>-0.05</v>
      </c>
      <c r="T19">
        <f t="shared" si="4"/>
        <v>0.5941119199999999</v>
      </c>
      <c r="U19">
        <f t="shared" si="5"/>
        <v>0.59624999999999995</v>
      </c>
      <c r="V19">
        <f t="shared" si="6"/>
        <v>-5.3499999999999997E-3</v>
      </c>
      <c r="W19">
        <f t="shared" si="7"/>
        <v>1.2E-5</v>
      </c>
      <c r="X19">
        <v>0.4</v>
      </c>
      <c r="Y19">
        <v>1</v>
      </c>
      <c r="Z19">
        <v>1</v>
      </c>
      <c r="AA19">
        <v>0</v>
      </c>
      <c r="AB19">
        <v>0.5</v>
      </c>
      <c r="AC19">
        <v>0.04</v>
      </c>
      <c r="AD19" s="1">
        <v>0.95</v>
      </c>
      <c r="AE19" s="1">
        <v>-0.1</v>
      </c>
      <c r="AF19" s="1">
        <v>0.45</v>
      </c>
      <c r="AG19" s="1">
        <v>-0.05</v>
      </c>
      <c r="AH19" s="1">
        <v>0.25</v>
      </c>
      <c r="AI19" s="1">
        <v>-2.5000000000000001E-2</v>
      </c>
      <c r="AJ19" s="1">
        <v>0.25</v>
      </c>
      <c r="AK19" s="1">
        <v>-2.5000000000000001E-2</v>
      </c>
      <c r="AU19">
        <f t="shared" si="8"/>
        <v>0.99127168000000021</v>
      </c>
      <c r="AV19">
        <f t="shared" si="9"/>
        <v>0.58984727999999997</v>
      </c>
      <c r="AW19">
        <v>1.2</v>
      </c>
      <c r="AX19">
        <v>2017</v>
      </c>
    </row>
    <row r="20" spans="1:50" x14ac:dyDescent="0.2">
      <c r="A20">
        <f t="shared" si="0"/>
        <v>0.97443675000000018</v>
      </c>
      <c r="B20">
        <f t="shared" si="1"/>
        <v>0.96250000000000013</v>
      </c>
      <c r="C20">
        <f t="shared" si="2"/>
        <v>2.3800000000000005E-2</v>
      </c>
      <c r="D20">
        <f t="shared" si="3"/>
        <v>1.4700000000000005E-4</v>
      </c>
      <c r="E20">
        <v>0.5</v>
      </c>
      <c r="F20">
        <v>1</v>
      </c>
      <c r="G20">
        <v>1</v>
      </c>
      <c r="H20">
        <v>0</v>
      </c>
      <c r="I20">
        <v>-0.5</v>
      </c>
      <c r="J20">
        <v>-7.0000000000000007E-2</v>
      </c>
      <c r="K20">
        <v>1</v>
      </c>
      <c r="L20">
        <v>-0.2</v>
      </c>
      <c r="M20">
        <v>0.5</v>
      </c>
      <c r="N20">
        <v>-0.1</v>
      </c>
      <c r="O20">
        <v>0.3</v>
      </c>
      <c r="P20">
        <v>-0.05</v>
      </c>
      <c r="Q20">
        <v>0.3</v>
      </c>
      <c r="R20">
        <v>-0.05</v>
      </c>
      <c r="T20">
        <f t="shared" si="4"/>
        <v>0.59357799999999994</v>
      </c>
      <c r="U20">
        <f t="shared" si="5"/>
        <v>0.59624999999999995</v>
      </c>
      <c r="V20">
        <f t="shared" si="6"/>
        <v>-5.3499999999999997E-3</v>
      </c>
      <c r="W20">
        <f t="shared" si="7"/>
        <v>1.2E-5</v>
      </c>
      <c r="X20">
        <v>0.5</v>
      </c>
      <c r="Y20">
        <v>1</v>
      </c>
      <c r="Z20">
        <v>1</v>
      </c>
      <c r="AA20">
        <v>0</v>
      </c>
      <c r="AB20">
        <v>0.5</v>
      </c>
      <c r="AC20">
        <v>0.04</v>
      </c>
      <c r="AD20" s="1">
        <v>0.95</v>
      </c>
      <c r="AE20" s="1">
        <v>-0.1</v>
      </c>
      <c r="AF20" s="1">
        <v>0.45</v>
      </c>
      <c r="AG20" s="1">
        <v>-0.05</v>
      </c>
      <c r="AH20" s="1">
        <v>0.25</v>
      </c>
      <c r="AI20" s="1">
        <v>-2.5000000000000001E-2</v>
      </c>
      <c r="AJ20" s="1">
        <v>0.25</v>
      </c>
      <c r="AK20" s="1">
        <v>-2.5000000000000001E-2</v>
      </c>
      <c r="AU20">
        <f t="shared" si="8"/>
        <v>0.97803210750000014</v>
      </c>
      <c r="AV20">
        <f t="shared" si="9"/>
        <v>0.59277756999999998</v>
      </c>
      <c r="AW20">
        <v>0.65</v>
      </c>
      <c r="AX20">
        <v>2019</v>
      </c>
    </row>
    <row r="21" spans="1:50" x14ac:dyDescent="0.2">
      <c r="A21">
        <f t="shared" si="0"/>
        <v>0.9768329200000001</v>
      </c>
      <c r="B21">
        <f t="shared" si="1"/>
        <v>0.96250000000000013</v>
      </c>
      <c r="C21">
        <f t="shared" si="2"/>
        <v>2.3800000000000005E-2</v>
      </c>
      <c r="D21">
        <f t="shared" si="3"/>
        <v>1.4700000000000005E-4</v>
      </c>
      <c r="E21">
        <v>0.6</v>
      </c>
      <c r="F21">
        <v>1</v>
      </c>
      <c r="G21">
        <v>1</v>
      </c>
      <c r="H21">
        <v>0</v>
      </c>
      <c r="I21">
        <v>-0.5</v>
      </c>
      <c r="J21">
        <v>-7.0000000000000007E-2</v>
      </c>
      <c r="K21">
        <v>1</v>
      </c>
      <c r="L21">
        <v>-0.2</v>
      </c>
      <c r="M21">
        <v>0.5</v>
      </c>
      <c r="N21">
        <v>-0.1</v>
      </c>
      <c r="O21">
        <v>0.3</v>
      </c>
      <c r="P21">
        <v>-0.05</v>
      </c>
      <c r="Q21">
        <v>0.3</v>
      </c>
      <c r="R21">
        <v>-0.05</v>
      </c>
      <c r="T21">
        <f t="shared" si="4"/>
        <v>0.59304431999999985</v>
      </c>
      <c r="U21">
        <f t="shared" si="5"/>
        <v>0.59624999999999995</v>
      </c>
      <c r="V21">
        <f t="shared" si="6"/>
        <v>-5.3499999999999997E-3</v>
      </c>
      <c r="W21">
        <f t="shared" si="7"/>
        <v>1.2E-5</v>
      </c>
      <c r="X21">
        <v>0.6</v>
      </c>
      <c r="Y21">
        <v>1</v>
      </c>
      <c r="Z21">
        <v>1</v>
      </c>
      <c r="AA21">
        <v>0</v>
      </c>
      <c r="AB21">
        <v>0.5</v>
      </c>
      <c r="AC21">
        <v>0.04</v>
      </c>
      <c r="AD21" s="1">
        <v>0.95</v>
      </c>
      <c r="AE21" s="1">
        <v>-0.1</v>
      </c>
      <c r="AF21" s="1">
        <v>0.45</v>
      </c>
      <c r="AG21" s="1">
        <v>-0.05</v>
      </c>
      <c r="AH21" s="1">
        <v>0.25</v>
      </c>
      <c r="AI21" s="1">
        <v>-2.5000000000000001E-2</v>
      </c>
      <c r="AJ21" s="1">
        <v>0.25</v>
      </c>
      <c r="AK21" s="1">
        <v>-2.5000000000000001E-2</v>
      </c>
      <c r="AU21">
        <f t="shared" si="8"/>
        <v>0.9473282112000001</v>
      </c>
      <c r="AV21">
        <f t="shared" si="9"/>
        <v>0.59967891519999994</v>
      </c>
      <c r="AW21">
        <v>-0.64</v>
      </c>
      <c r="AX21">
        <v>2021</v>
      </c>
    </row>
    <row r="22" spans="1:50" x14ac:dyDescent="0.2">
      <c r="A22">
        <f t="shared" si="0"/>
        <v>0.97923203000000014</v>
      </c>
      <c r="B22">
        <f t="shared" si="1"/>
        <v>0.96250000000000013</v>
      </c>
      <c r="C22">
        <f t="shared" si="2"/>
        <v>2.3800000000000005E-2</v>
      </c>
      <c r="D22">
        <f t="shared" si="3"/>
        <v>1.4700000000000005E-4</v>
      </c>
      <c r="E22">
        <v>0.7</v>
      </c>
      <c r="F22">
        <v>1</v>
      </c>
      <c r="G22">
        <v>1</v>
      </c>
      <c r="H22">
        <v>0</v>
      </c>
      <c r="I22">
        <v>-0.5</v>
      </c>
      <c r="J22">
        <v>-7.0000000000000007E-2</v>
      </c>
      <c r="K22">
        <v>1</v>
      </c>
      <c r="L22">
        <v>-0.2</v>
      </c>
      <c r="M22">
        <v>0.5</v>
      </c>
      <c r="N22">
        <v>-0.1</v>
      </c>
      <c r="O22">
        <v>0.3</v>
      </c>
      <c r="P22">
        <v>-0.05</v>
      </c>
      <c r="Q22">
        <v>0.3</v>
      </c>
      <c r="R22">
        <v>-0.05</v>
      </c>
      <c r="T22">
        <f t="shared" si="4"/>
        <v>0.59251087999999996</v>
      </c>
      <c r="U22">
        <f t="shared" si="5"/>
        <v>0.59624999999999995</v>
      </c>
      <c r="V22">
        <f t="shared" si="6"/>
        <v>-5.3499999999999997E-3</v>
      </c>
      <c r="W22">
        <f t="shared" si="7"/>
        <v>1.2E-5</v>
      </c>
      <c r="X22">
        <v>0.7</v>
      </c>
      <c r="Y22">
        <v>1</v>
      </c>
      <c r="Z22">
        <v>1</v>
      </c>
      <c r="AA22">
        <v>0</v>
      </c>
      <c r="AB22">
        <v>0.5</v>
      </c>
      <c r="AC22">
        <v>0.04</v>
      </c>
      <c r="AD22" s="1">
        <v>0.95</v>
      </c>
      <c r="AE22" s="1">
        <v>-0.1</v>
      </c>
      <c r="AF22" s="1">
        <v>0.45</v>
      </c>
      <c r="AG22" s="1">
        <v>-0.05</v>
      </c>
      <c r="AH22" s="1">
        <v>0.25</v>
      </c>
      <c r="AI22" s="1">
        <v>-2.5000000000000001E-2</v>
      </c>
      <c r="AJ22" s="1">
        <v>0.25</v>
      </c>
      <c r="AK22" s="1">
        <v>-2.5000000000000001E-2</v>
      </c>
      <c r="AU22">
        <f t="shared" si="8"/>
        <v>0.9603591907000002</v>
      </c>
      <c r="AV22">
        <f t="shared" si="9"/>
        <v>0.59673159720000002</v>
      </c>
      <c r="AW22">
        <v>-0.09</v>
      </c>
      <c r="AX22">
        <v>2023</v>
      </c>
    </row>
    <row r="23" spans="1:50" x14ac:dyDescent="0.2">
      <c r="A23">
        <f t="shared" si="0"/>
        <v>0.98163408000000019</v>
      </c>
      <c r="B23">
        <f t="shared" si="1"/>
        <v>0.96250000000000013</v>
      </c>
      <c r="C23">
        <f t="shared" si="2"/>
        <v>2.3800000000000005E-2</v>
      </c>
      <c r="D23">
        <f t="shared" si="3"/>
        <v>1.4700000000000005E-4</v>
      </c>
      <c r="E23">
        <v>0.8</v>
      </c>
      <c r="F23">
        <v>1</v>
      </c>
      <c r="G23">
        <v>1</v>
      </c>
      <c r="H23">
        <v>0</v>
      </c>
      <c r="I23">
        <v>-0.5</v>
      </c>
      <c r="J23">
        <v>-7.0000000000000007E-2</v>
      </c>
      <c r="K23">
        <v>1</v>
      </c>
      <c r="L23">
        <v>-0.2</v>
      </c>
      <c r="M23">
        <v>0.5</v>
      </c>
      <c r="N23">
        <v>-0.1</v>
      </c>
      <c r="O23">
        <v>0.3</v>
      </c>
      <c r="P23">
        <v>-0.05</v>
      </c>
      <c r="Q23">
        <v>0.3</v>
      </c>
      <c r="R23">
        <v>-0.05</v>
      </c>
      <c r="T23">
        <f t="shared" si="4"/>
        <v>0.59197767999999995</v>
      </c>
      <c r="U23">
        <f t="shared" si="5"/>
        <v>0.59624999999999995</v>
      </c>
      <c r="V23">
        <f t="shared" si="6"/>
        <v>-5.3499999999999997E-3</v>
      </c>
      <c r="W23">
        <f t="shared" si="7"/>
        <v>1.2E-5</v>
      </c>
      <c r="X23">
        <v>0.8</v>
      </c>
      <c r="Y23">
        <v>1</v>
      </c>
      <c r="Z23">
        <v>1</v>
      </c>
      <c r="AA23">
        <v>0</v>
      </c>
      <c r="AB23">
        <v>0.5</v>
      </c>
      <c r="AC23">
        <v>0.04</v>
      </c>
      <c r="AD23" s="1">
        <v>0.95</v>
      </c>
      <c r="AE23" s="1">
        <v>-0.1</v>
      </c>
      <c r="AF23" s="1">
        <v>0.45</v>
      </c>
      <c r="AG23" s="1">
        <v>-0.05</v>
      </c>
      <c r="AH23" s="1">
        <v>0.25</v>
      </c>
      <c r="AI23" s="1">
        <v>-2.5000000000000001E-2</v>
      </c>
      <c r="AJ23" s="1">
        <v>0.25</v>
      </c>
      <c r="AK23" s="1">
        <v>-2.5000000000000001E-2</v>
      </c>
      <c r="AU23">
        <f t="shared" si="8"/>
        <v>0.99127168000000021</v>
      </c>
      <c r="AV23">
        <f t="shared" si="9"/>
        <v>0.58984727999999997</v>
      </c>
      <c r="AW23">
        <v>1.2</v>
      </c>
      <c r="AX23">
        <v>2025</v>
      </c>
    </row>
    <row r="24" spans="1:50" x14ac:dyDescent="0.2">
      <c r="A24">
        <f t="shared" si="0"/>
        <v>0.98403907000000013</v>
      </c>
      <c r="B24">
        <f t="shared" si="1"/>
        <v>0.96250000000000013</v>
      </c>
      <c r="C24">
        <f t="shared" si="2"/>
        <v>2.3800000000000005E-2</v>
      </c>
      <c r="D24">
        <f t="shared" si="3"/>
        <v>1.4700000000000005E-4</v>
      </c>
      <c r="E24">
        <v>0.9</v>
      </c>
      <c r="F24">
        <v>1</v>
      </c>
      <c r="G24">
        <v>1</v>
      </c>
      <c r="H24">
        <v>0</v>
      </c>
      <c r="I24">
        <v>-0.5</v>
      </c>
      <c r="J24">
        <v>-7.0000000000000007E-2</v>
      </c>
      <c r="K24">
        <v>1</v>
      </c>
      <c r="L24">
        <v>-0.2</v>
      </c>
      <c r="M24">
        <v>0.5</v>
      </c>
      <c r="N24">
        <v>-0.1</v>
      </c>
      <c r="O24">
        <v>0.3</v>
      </c>
      <c r="P24">
        <v>-0.05</v>
      </c>
      <c r="Q24">
        <v>0.3</v>
      </c>
      <c r="R24">
        <v>-0.05</v>
      </c>
      <c r="T24">
        <f t="shared" si="4"/>
        <v>0.59144471999999992</v>
      </c>
      <c r="U24">
        <f t="shared" si="5"/>
        <v>0.59624999999999995</v>
      </c>
      <c r="V24">
        <f t="shared" si="6"/>
        <v>-5.3499999999999997E-3</v>
      </c>
      <c r="W24">
        <f t="shared" si="7"/>
        <v>1.2E-5</v>
      </c>
      <c r="X24">
        <v>0.9</v>
      </c>
      <c r="Y24">
        <v>1</v>
      </c>
      <c r="Z24">
        <v>1</v>
      </c>
      <c r="AA24">
        <v>0</v>
      </c>
      <c r="AB24">
        <v>0.5</v>
      </c>
      <c r="AC24">
        <v>0.04</v>
      </c>
      <c r="AD24" s="1">
        <v>0.95</v>
      </c>
      <c r="AE24" s="1">
        <v>-0.1</v>
      </c>
      <c r="AF24" s="1">
        <v>0.45</v>
      </c>
      <c r="AG24" s="1">
        <v>-0.05</v>
      </c>
      <c r="AH24" s="1">
        <v>0.25</v>
      </c>
      <c r="AI24" s="1">
        <v>-2.5000000000000001E-2</v>
      </c>
      <c r="AJ24" s="1">
        <v>0.25</v>
      </c>
      <c r="AK24" s="1">
        <v>-2.5000000000000001E-2</v>
      </c>
    </row>
    <row r="25" spans="1:50" x14ac:dyDescent="0.2">
      <c r="A25">
        <f t="shared" si="0"/>
        <v>0.98644700000000018</v>
      </c>
      <c r="B25">
        <f t="shared" si="1"/>
        <v>0.96250000000000013</v>
      </c>
      <c r="C25">
        <f t="shared" si="2"/>
        <v>2.3800000000000005E-2</v>
      </c>
      <c r="D25">
        <f t="shared" si="3"/>
        <v>1.4700000000000005E-4</v>
      </c>
      <c r="E25">
        <v>1</v>
      </c>
      <c r="F25">
        <v>1</v>
      </c>
      <c r="G25">
        <v>1</v>
      </c>
      <c r="H25">
        <v>0</v>
      </c>
      <c r="I25">
        <v>-0.5</v>
      </c>
      <c r="J25">
        <v>-7.0000000000000007E-2</v>
      </c>
      <c r="K25">
        <v>1</v>
      </c>
      <c r="L25">
        <v>-0.2</v>
      </c>
      <c r="M25">
        <v>0.5</v>
      </c>
      <c r="N25">
        <v>-0.1</v>
      </c>
      <c r="O25">
        <v>0.3</v>
      </c>
      <c r="P25">
        <v>-0.05</v>
      </c>
      <c r="Q25">
        <v>0.3</v>
      </c>
      <c r="R25">
        <v>-0.05</v>
      </c>
      <c r="T25">
        <f t="shared" si="4"/>
        <v>0.59091199999999999</v>
      </c>
      <c r="U25">
        <f t="shared" si="5"/>
        <v>0.59624999999999995</v>
      </c>
      <c r="V25">
        <f t="shared" si="6"/>
        <v>-5.3499999999999997E-3</v>
      </c>
      <c r="W25">
        <f t="shared" si="7"/>
        <v>1.2E-5</v>
      </c>
      <c r="X25">
        <v>1</v>
      </c>
      <c r="Y25">
        <v>1</v>
      </c>
      <c r="Z25">
        <v>1</v>
      </c>
      <c r="AA25">
        <v>0</v>
      </c>
      <c r="AB25">
        <v>0.5</v>
      </c>
      <c r="AC25">
        <v>0.04</v>
      </c>
      <c r="AD25" s="1">
        <v>0.95</v>
      </c>
      <c r="AE25" s="1">
        <v>-0.1</v>
      </c>
      <c r="AF25" s="1">
        <v>0.45</v>
      </c>
      <c r="AG25" s="1">
        <v>-0.05</v>
      </c>
      <c r="AH25" s="1">
        <v>0.25</v>
      </c>
      <c r="AI25" s="1">
        <v>-2.5000000000000001E-2</v>
      </c>
      <c r="AJ25" s="1">
        <v>0.25</v>
      </c>
      <c r="AK25" s="1">
        <v>-2.5000000000000001E-2</v>
      </c>
    </row>
    <row r="26" spans="1:50" x14ac:dyDescent="0.2">
      <c r="A26">
        <f t="shared" si="0"/>
        <v>0.98885787000000014</v>
      </c>
      <c r="B26">
        <f t="shared" si="1"/>
        <v>0.96250000000000013</v>
      </c>
      <c r="C26">
        <f t="shared" si="2"/>
        <v>2.3800000000000005E-2</v>
      </c>
      <c r="D26">
        <f t="shared" si="3"/>
        <v>1.4700000000000005E-4</v>
      </c>
      <c r="E26">
        <v>1.1000000000000001</v>
      </c>
      <c r="F26">
        <v>1</v>
      </c>
      <c r="G26">
        <v>1</v>
      </c>
      <c r="H26">
        <v>0</v>
      </c>
      <c r="I26">
        <v>-0.5</v>
      </c>
      <c r="J26">
        <v>-7.0000000000000007E-2</v>
      </c>
      <c r="K26">
        <v>1</v>
      </c>
      <c r="L26">
        <v>-0.2</v>
      </c>
      <c r="M26">
        <v>0.5</v>
      </c>
      <c r="N26">
        <v>-0.1</v>
      </c>
      <c r="O26">
        <v>0.3</v>
      </c>
      <c r="P26">
        <v>-0.05</v>
      </c>
      <c r="Q26">
        <v>0.3</v>
      </c>
      <c r="R26">
        <v>-0.05</v>
      </c>
      <c r="T26">
        <f t="shared" si="4"/>
        <v>0.59037951999999994</v>
      </c>
      <c r="U26">
        <f t="shared" si="5"/>
        <v>0.59624999999999995</v>
      </c>
      <c r="V26">
        <f t="shared" si="6"/>
        <v>-5.3499999999999997E-3</v>
      </c>
      <c r="W26">
        <f t="shared" si="7"/>
        <v>1.2E-5</v>
      </c>
      <c r="X26">
        <v>1.1000000000000001</v>
      </c>
      <c r="Y26">
        <v>1</v>
      </c>
      <c r="Z26">
        <v>1</v>
      </c>
      <c r="AA26">
        <v>0</v>
      </c>
      <c r="AB26">
        <v>0.5</v>
      </c>
      <c r="AC26">
        <v>0.04</v>
      </c>
      <c r="AD26" s="1">
        <v>0.95</v>
      </c>
      <c r="AE26" s="1">
        <v>-0.1</v>
      </c>
      <c r="AF26" s="1">
        <v>0.45</v>
      </c>
      <c r="AG26" s="1">
        <v>-0.05</v>
      </c>
      <c r="AH26" s="1">
        <v>0.25</v>
      </c>
      <c r="AI26" s="1">
        <v>-2.5000000000000001E-2</v>
      </c>
      <c r="AJ26" s="1">
        <v>0.25</v>
      </c>
      <c r="AK26" s="1">
        <v>-2.5000000000000001E-2</v>
      </c>
    </row>
    <row r="27" spans="1:50" x14ac:dyDescent="0.2">
      <c r="A27">
        <f t="shared" si="0"/>
        <v>0.99127168000000021</v>
      </c>
      <c r="B27">
        <f t="shared" si="1"/>
        <v>0.96250000000000013</v>
      </c>
      <c r="C27">
        <f t="shared" si="2"/>
        <v>2.3800000000000005E-2</v>
      </c>
      <c r="D27">
        <f t="shared" si="3"/>
        <v>1.4700000000000005E-4</v>
      </c>
      <c r="E27">
        <v>1.2</v>
      </c>
      <c r="F27">
        <v>1</v>
      </c>
      <c r="G27">
        <v>1</v>
      </c>
      <c r="H27">
        <v>0</v>
      </c>
      <c r="I27">
        <v>-0.5</v>
      </c>
      <c r="J27">
        <v>-7.0000000000000007E-2</v>
      </c>
      <c r="K27">
        <v>1</v>
      </c>
      <c r="L27">
        <v>-0.2</v>
      </c>
      <c r="M27">
        <v>0.5</v>
      </c>
      <c r="N27">
        <v>-0.1</v>
      </c>
      <c r="O27">
        <v>0.3</v>
      </c>
      <c r="P27">
        <v>-0.05</v>
      </c>
      <c r="Q27">
        <v>0.3</v>
      </c>
      <c r="R27">
        <v>-0.05</v>
      </c>
      <c r="T27">
        <f t="shared" si="4"/>
        <v>0.58984727999999997</v>
      </c>
      <c r="U27">
        <f t="shared" si="5"/>
        <v>0.59624999999999995</v>
      </c>
      <c r="V27">
        <f t="shared" si="6"/>
        <v>-5.3499999999999997E-3</v>
      </c>
      <c r="W27">
        <f t="shared" si="7"/>
        <v>1.2E-5</v>
      </c>
      <c r="X27">
        <v>1.2</v>
      </c>
      <c r="Y27">
        <v>1</v>
      </c>
      <c r="Z27">
        <v>1</v>
      </c>
      <c r="AA27">
        <v>0</v>
      </c>
      <c r="AB27">
        <v>0.5</v>
      </c>
      <c r="AC27">
        <v>0.04</v>
      </c>
      <c r="AD27" s="1">
        <v>0.95</v>
      </c>
      <c r="AE27" s="1">
        <v>-0.1</v>
      </c>
      <c r="AF27" s="1">
        <v>0.45</v>
      </c>
      <c r="AG27" s="1">
        <v>-0.05</v>
      </c>
      <c r="AH27" s="1">
        <v>0.25</v>
      </c>
      <c r="AI27" s="1">
        <v>-2.5000000000000001E-2</v>
      </c>
      <c r="AJ27" s="1">
        <v>0.25</v>
      </c>
      <c r="AK27" s="1">
        <v>-2.5000000000000001E-2</v>
      </c>
    </row>
    <row r="29" spans="1:50" x14ac:dyDescent="0.2">
      <c r="A29" t="s">
        <v>88</v>
      </c>
    </row>
    <row r="30" spans="1:50" x14ac:dyDescent="0.2">
      <c r="A30" t="s">
        <v>67</v>
      </c>
      <c r="B30" t="s">
        <v>81</v>
      </c>
      <c r="C30" t="s">
        <v>80</v>
      </c>
      <c r="D30" t="s">
        <v>79</v>
      </c>
      <c r="E30" t="s">
        <v>73</v>
      </c>
      <c r="F30" t="s">
        <v>63</v>
      </c>
      <c r="G30" t="s">
        <v>72</v>
      </c>
      <c r="H30" t="s">
        <v>71</v>
      </c>
      <c r="I30" t="s">
        <v>78</v>
      </c>
      <c r="J30" t="s">
        <v>77</v>
      </c>
      <c r="K30" t="s">
        <v>6</v>
      </c>
      <c r="L30" t="s">
        <v>10</v>
      </c>
      <c r="M30" t="s">
        <v>7</v>
      </c>
      <c r="N30" t="s">
        <v>11</v>
      </c>
      <c r="O30" t="s">
        <v>8</v>
      </c>
      <c r="P30" t="s">
        <v>12</v>
      </c>
      <c r="Q30" t="s">
        <v>9</v>
      </c>
      <c r="R30" t="s">
        <v>13</v>
      </c>
      <c r="T30" t="s">
        <v>67</v>
      </c>
      <c r="U30" t="s">
        <v>76</v>
      </c>
      <c r="V30" t="s">
        <v>75</v>
      </c>
      <c r="W30" t="s">
        <v>74</v>
      </c>
      <c r="X30" t="s">
        <v>73</v>
      </c>
      <c r="Y30" t="s">
        <v>63</v>
      </c>
      <c r="Z30" t="s">
        <v>72</v>
      </c>
      <c r="AA30" t="s">
        <v>71</v>
      </c>
      <c r="AB30" t="s">
        <v>70</v>
      </c>
      <c r="AC30" t="s">
        <v>69</v>
      </c>
      <c r="AD30" t="s">
        <v>16</v>
      </c>
      <c r="AE30" t="s">
        <v>20</v>
      </c>
      <c r="AF30" t="s">
        <v>17</v>
      </c>
      <c r="AG30" t="s">
        <v>21</v>
      </c>
      <c r="AH30" t="s">
        <v>18</v>
      </c>
      <c r="AI30" t="s">
        <v>22</v>
      </c>
      <c r="AJ30" t="s">
        <v>19</v>
      </c>
      <c r="AK30" t="s">
        <v>23</v>
      </c>
      <c r="AU30" t="s">
        <v>87</v>
      </c>
      <c r="AV30" t="s">
        <v>86</v>
      </c>
      <c r="AW30" t="s">
        <v>85</v>
      </c>
      <c r="AX30" t="s">
        <v>84</v>
      </c>
    </row>
    <row r="31" spans="1:50" x14ac:dyDescent="0.2">
      <c r="A31">
        <f t="shared" ref="A31:A53" si="10">B31+C31*E31+D31*E31^2</f>
        <v>0.51189600000000002</v>
      </c>
      <c r="B31">
        <f t="shared" ref="B31:B53" si="11">(K31+L31*I31)*((M31+N31*I31)*F31+(O31+P31*I31)*G31+(Q31+R31*I31)*H31)</f>
        <v>0.66500000000000004</v>
      </c>
      <c r="C31">
        <f t="shared" ref="C31:C53" si="12">(K31+L31*I31)*(N31*J31*F31+P31*J31*G31+R31*J31*H31)+((M31+N31*I31)*F31+(O31+P31*I31)*G31+(Q31+R31*I31)*H31)*L31*J31</f>
        <v>0.16310000000000002</v>
      </c>
      <c r="D31">
        <f t="shared" ref="D31:D53" si="13">L31*J31*(N31*J31*F31+P31*J31*G31+R31*J31*H31)</f>
        <v>9.9960000000000031E-3</v>
      </c>
      <c r="E31">
        <v>-1</v>
      </c>
      <c r="F31">
        <v>1</v>
      </c>
      <c r="G31">
        <v>1</v>
      </c>
      <c r="H31">
        <v>0</v>
      </c>
      <c r="I31">
        <v>-0.5</v>
      </c>
      <c r="J31">
        <v>-7.0000000000000007E-2</v>
      </c>
      <c r="K31">
        <v>0.1</v>
      </c>
      <c r="L31">
        <v>-1.2</v>
      </c>
      <c r="M31">
        <v>7.0000000000000007E-2</v>
      </c>
      <c r="N31">
        <v>-1.1000000000000001</v>
      </c>
      <c r="O31">
        <v>0.03</v>
      </c>
      <c r="P31">
        <v>-0.6</v>
      </c>
      <c r="Q31">
        <v>0.04</v>
      </c>
      <c r="R31">
        <v>-0.7</v>
      </c>
      <c r="T31">
        <f t="shared" ref="T31:T53" si="14">U31+V31*X31+W31*X31^2</f>
        <v>0.4644776000000001</v>
      </c>
      <c r="U31">
        <f t="shared" ref="U31:U53" si="15">(AD31+AE31*AB31)*((AF31+AG31*AB31)*Y31+(AH31+AI31*AB31)*Z31+(AJ31+AK31*AB31)*AA31)</f>
        <v>0.40250000000000008</v>
      </c>
      <c r="V31">
        <f t="shared" ref="V31:V53" si="16">(AD31+AE31*AB31)*(AG31*AC31*Y31+AI31*AC31*Z31+AK31*AC31*AA31)+((AF31+AG31*AB31)*Y31+(AH31+AI31*AB31)*Z31+(AJ31+AK31*AB31)*AA31)*AE31*AC31</f>
        <v>-5.9760000000000008E-2</v>
      </c>
      <c r="W31">
        <f t="shared" ref="W31:W53" si="17">AE31*AC31*(AG31*AC31*Y31+AI31*AC31*Z31+AK31*AC31*AA31)</f>
        <v>2.2176000000000001E-3</v>
      </c>
      <c r="X31">
        <v>-1</v>
      </c>
      <c r="Y31">
        <v>1</v>
      </c>
      <c r="Z31">
        <v>1</v>
      </c>
      <c r="AA31">
        <v>0</v>
      </c>
      <c r="AB31">
        <v>0.5</v>
      </c>
      <c r="AC31">
        <v>0.04</v>
      </c>
      <c r="AD31" s="1">
        <v>1.1000000000000001</v>
      </c>
      <c r="AE31" s="1">
        <v>-1.05</v>
      </c>
      <c r="AF31" s="1">
        <v>0.9</v>
      </c>
      <c r="AG31" s="1">
        <v>-0.87</v>
      </c>
      <c r="AH31" s="1">
        <v>0.46</v>
      </c>
      <c r="AI31" s="1">
        <v>-0.45</v>
      </c>
      <c r="AJ31" s="1">
        <v>0.5</v>
      </c>
      <c r="AK31" s="1">
        <v>-0.48</v>
      </c>
      <c r="AU31">
        <f t="shared" ref="AU31:AU49" si="18">B31+C31*AW31+D31*AW31^2</f>
        <v>0.67975996760000001</v>
      </c>
      <c r="AV31">
        <f t="shared" ref="AV31:AV49" si="19">U31+V31*AW31+W31*AW31^2</f>
        <v>0.39713956256000005</v>
      </c>
      <c r="AW31">
        <v>0.09</v>
      </c>
      <c r="AX31">
        <v>1989</v>
      </c>
    </row>
    <row r="32" spans="1:50" x14ac:dyDescent="0.2">
      <c r="A32">
        <f t="shared" si="10"/>
        <v>0.5263067600000001</v>
      </c>
      <c r="B32">
        <f t="shared" si="11"/>
        <v>0.66500000000000004</v>
      </c>
      <c r="C32">
        <f t="shared" si="12"/>
        <v>0.16310000000000002</v>
      </c>
      <c r="D32">
        <f t="shared" si="13"/>
        <v>9.9960000000000031E-3</v>
      </c>
      <c r="E32">
        <v>-0.9</v>
      </c>
      <c r="F32">
        <v>1</v>
      </c>
      <c r="G32">
        <v>1</v>
      </c>
      <c r="H32">
        <v>0</v>
      </c>
      <c r="I32">
        <v>-0.5</v>
      </c>
      <c r="J32">
        <v>-7.0000000000000007E-2</v>
      </c>
      <c r="K32">
        <v>0.1</v>
      </c>
      <c r="L32">
        <v>-1.2</v>
      </c>
      <c r="M32">
        <v>7.0000000000000007E-2</v>
      </c>
      <c r="N32">
        <v>-1.1000000000000001</v>
      </c>
      <c r="O32">
        <v>0.03</v>
      </c>
      <c r="P32">
        <v>-0.6</v>
      </c>
      <c r="Q32">
        <v>0.04</v>
      </c>
      <c r="R32">
        <v>-0.7</v>
      </c>
      <c r="T32">
        <f t="shared" si="14"/>
        <v>0.45808025600000007</v>
      </c>
      <c r="U32">
        <f t="shared" si="15"/>
        <v>0.40250000000000008</v>
      </c>
      <c r="V32">
        <f t="shared" si="16"/>
        <v>-5.9760000000000008E-2</v>
      </c>
      <c r="W32">
        <f t="shared" si="17"/>
        <v>2.2176000000000001E-3</v>
      </c>
      <c r="X32">
        <v>-0.9</v>
      </c>
      <c r="Y32">
        <v>1</v>
      </c>
      <c r="Z32">
        <v>1</v>
      </c>
      <c r="AA32">
        <v>0</v>
      </c>
      <c r="AB32">
        <v>0.5</v>
      </c>
      <c r="AC32">
        <v>0.04</v>
      </c>
      <c r="AD32" s="1">
        <v>1.1000000000000001</v>
      </c>
      <c r="AE32" s="1">
        <v>-1.05</v>
      </c>
      <c r="AF32" s="1">
        <v>0.9</v>
      </c>
      <c r="AG32" s="1">
        <v>-0.87</v>
      </c>
      <c r="AH32" s="1">
        <v>0.46</v>
      </c>
      <c r="AI32" s="1">
        <v>-0.45</v>
      </c>
      <c r="AJ32" s="1">
        <v>0.5</v>
      </c>
      <c r="AK32" s="1">
        <v>-0.48</v>
      </c>
      <c r="AU32">
        <f t="shared" si="18"/>
        <v>0.67975996760000001</v>
      </c>
      <c r="AV32">
        <f t="shared" si="19"/>
        <v>0.39713956256000005</v>
      </c>
      <c r="AW32">
        <v>0.09</v>
      </c>
      <c r="AX32">
        <v>1991</v>
      </c>
    </row>
    <row r="33" spans="1:50" x14ac:dyDescent="0.2">
      <c r="A33">
        <f t="shared" si="10"/>
        <v>0.54091743999999997</v>
      </c>
      <c r="B33">
        <f t="shared" si="11"/>
        <v>0.66500000000000004</v>
      </c>
      <c r="C33">
        <f t="shared" si="12"/>
        <v>0.16310000000000002</v>
      </c>
      <c r="D33">
        <f t="shared" si="13"/>
        <v>9.9960000000000031E-3</v>
      </c>
      <c r="E33">
        <v>-0.8</v>
      </c>
      <c r="F33">
        <v>1</v>
      </c>
      <c r="G33">
        <v>1</v>
      </c>
      <c r="H33">
        <v>0</v>
      </c>
      <c r="I33">
        <v>-0.5</v>
      </c>
      <c r="J33">
        <v>-7.0000000000000007E-2</v>
      </c>
      <c r="K33">
        <v>0.1</v>
      </c>
      <c r="L33">
        <v>-1.2</v>
      </c>
      <c r="M33">
        <v>7.0000000000000007E-2</v>
      </c>
      <c r="N33">
        <v>-1.1000000000000001</v>
      </c>
      <c r="O33">
        <v>0.03</v>
      </c>
      <c r="P33">
        <v>-0.6</v>
      </c>
      <c r="Q33">
        <v>0.04</v>
      </c>
      <c r="R33">
        <v>-0.7</v>
      </c>
      <c r="T33">
        <f t="shared" si="14"/>
        <v>0.45172726400000007</v>
      </c>
      <c r="U33">
        <f t="shared" si="15"/>
        <v>0.40250000000000008</v>
      </c>
      <c r="V33">
        <f t="shared" si="16"/>
        <v>-5.9760000000000008E-2</v>
      </c>
      <c r="W33">
        <f t="shared" si="17"/>
        <v>2.2176000000000001E-3</v>
      </c>
      <c r="X33">
        <v>-0.8</v>
      </c>
      <c r="Y33">
        <v>1</v>
      </c>
      <c r="Z33">
        <v>1</v>
      </c>
      <c r="AA33">
        <v>0</v>
      </c>
      <c r="AB33">
        <v>0.5</v>
      </c>
      <c r="AC33">
        <v>0.04</v>
      </c>
      <c r="AD33" s="1">
        <v>1.1000000000000001</v>
      </c>
      <c r="AE33" s="1">
        <v>-1.05</v>
      </c>
      <c r="AF33" s="1">
        <v>0.9</v>
      </c>
      <c r="AG33" s="1">
        <v>-0.87</v>
      </c>
      <c r="AH33" s="1">
        <v>0.46</v>
      </c>
      <c r="AI33" s="1">
        <v>-0.45</v>
      </c>
      <c r="AJ33" s="1">
        <v>0.5</v>
      </c>
      <c r="AK33" s="1">
        <v>-0.48</v>
      </c>
      <c r="AU33">
        <f t="shared" si="18"/>
        <v>0.51189600000000002</v>
      </c>
      <c r="AV33">
        <f t="shared" si="19"/>
        <v>0.4644776000000001</v>
      </c>
      <c r="AW33">
        <v>-1</v>
      </c>
      <c r="AX33">
        <v>1993</v>
      </c>
    </row>
    <row r="34" spans="1:50" x14ac:dyDescent="0.2">
      <c r="A34">
        <f t="shared" si="10"/>
        <v>0.55572804000000009</v>
      </c>
      <c r="B34">
        <f t="shared" si="11"/>
        <v>0.66500000000000004</v>
      </c>
      <c r="C34">
        <f t="shared" si="12"/>
        <v>0.16310000000000002</v>
      </c>
      <c r="D34">
        <f t="shared" si="13"/>
        <v>9.9960000000000031E-3</v>
      </c>
      <c r="E34">
        <v>-0.7</v>
      </c>
      <c r="F34">
        <v>1</v>
      </c>
      <c r="G34">
        <v>1</v>
      </c>
      <c r="H34">
        <v>0</v>
      </c>
      <c r="I34">
        <v>-0.5</v>
      </c>
      <c r="J34">
        <v>-7.0000000000000007E-2</v>
      </c>
      <c r="K34">
        <v>0.1</v>
      </c>
      <c r="L34">
        <v>-1.2</v>
      </c>
      <c r="M34">
        <v>7.0000000000000007E-2</v>
      </c>
      <c r="N34">
        <v>-1.1000000000000001</v>
      </c>
      <c r="O34">
        <v>0.03</v>
      </c>
      <c r="P34">
        <v>-0.6</v>
      </c>
      <c r="Q34">
        <v>0.04</v>
      </c>
      <c r="R34">
        <v>-0.7</v>
      </c>
      <c r="T34">
        <f t="shared" si="14"/>
        <v>0.44541862400000004</v>
      </c>
      <c r="U34">
        <f t="shared" si="15"/>
        <v>0.40250000000000008</v>
      </c>
      <c r="V34">
        <f t="shared" si="16"/>
        <v>-5.9760000000000008E-2</v>
      </c>
      <c r="W34">
        <f t="shared" si="17"/>
        <v>2.2176000000000001E-3</v>
      </c>
      <c r="X34">
        <v>-0.7</v>
      </c>
      <c r="Y34">
        <v>1</v>
      </c>
      <c r="Z34">
        <v>1</v>
      </c>
      <c r="AA34">
        <v>0</v>
      </c>
      <c r="AB34">
        <v>0.5</v>
      </c>
      <c r="AC34">
        <v>0.04</v>
      </c>
      <c r="AD34" s="1">
        <v>1.1000000000000001</v>
      </c>
      <c r="AE34" s="1">
        <v>-1.05</v>
      </c>
      <c r="AF34" s="1">
        <v>0.9</v>
      </c>
      <c r="AG34" s="1">
        <v>-0.87</v>
      </c>
      <c r="AH34" s="1">
        <v>0.46</v>
      </c>
      <c r="AI34" s="1">
        <v>-0.45</v>
      </c>
      <c r="AJ34" s="1">
        <v>0.5</v>
      </c>
      <c r="AK34" s="1">
        <v>-0.48</v>
      </c>
      <c r="AU34">
        <f t="shared" si="18"/>
        <v>0.65040196760000002</v>
      </c>
      <c r="AV34">
        <f t="shared" si="19"/>
        <v>0.40789636256000006</v>
      </c>
      <c r="AW34">
        <v>-0.09</v>
      </c>
      <c r="AX34">
        <v>1995</v>
      </c>
    </row>
    <row r="35" spans="1:50" x14ac:dyDescent="0.2">
      <c r="A35">
        <f t="shared" si="10"/>
        <v>0.57073856000000001</v>
      </c>
      <c r="B35">
        <f t="shared" si="11"/>
        <v>0.66500000000000004</v>
      </c>
      <c r="C35">
        <f t="shared" si="12"/>
        <v>0.16310000000000002</v>
      </c>
      <c r="D35">
        <f t="shared" si="13"/>
        <v>9.9960000000000031E-3</v>
      </c>
      <c r="E35">
        <v>-0.6</v>
      </c>
      <c r="F35">
        <v>1</v>
      </c>
      <c r="G35">
        <v>1</v>
      </c>
      <c r="H35">
        <v>0</v>
      </c>
      <c r="I35">
        <v>-0.5</v>
      </c>
      <c r="J35">
        <v>-7.0000000000000007E-2</v>
      </c>
      <c r="K35">
        <v>0.1</v>
      </c>
      <c r="L35">
        <v>-1.2</v>
      </c>
      <c r="M35">
        <v>7.0000000000000007E-2</v>
      </c>
      <c r="N35">
        <v>-1.1000000000000001</v>
      </c>
      <c r="O35">
        <v>0.03</v>
      </c>
      <c r="P35">
        <v>-0.6</v>
      </c>
      <c r="Q35">
        <v>0.04</v>
      </c>
      <c r="R35">
        <v>-0.7</v>
      </c>
      <c r="T35">
        <f t="shared" si="14"/>
        <v>0.43915433600000009</v>
      </c>
      <c r="U35">
        <f t="shared" si="15"/>
        <v>0.40250000000000008</v>
      </c>
      <c r="V35">
        <f t="shared" si="16"/>
        <v>-5.9760000000000008E-2</v>
      </c>
      <c r="W35">
        <f t="shared" si="17"/>
        <v>2.2176000000000001E-3</v>
      </c>
      <c r="X35">
        <v>-0.6</v>
      </c>
      <c r="Y35">
        <v>1</v>
      </c>
      <c r="Z35">
        <v>1</v>
      </c>
      <c r="AA35">
        <v>0</v>
      </c>
      <c r="AB35">
        <v>0.5</v>
      </c>
      <c r="AC35">
        <v>0.04</v>
      </c>
      <c r="AD35" s="1">
        <v>1.1000000000000001</v>
      </c>
      <c r="AE35" s="1">
        <v>-1.05</v>
      </c>
      <c r="AF35" s="1">
        <v>0.9</v>
      </c>
      <c r="AG35" s="1">
        <v>-0.87</v>
      </c>
      <c r="AH35" s="1">
        <v>0.46</v>
      </c>
      <c r="AI35" s="1">
        <v>-0.45</v>
      </c>
      <c r="AJ35" s="1">
        <v>0.5</v>
      </c>
      <c r="AK35" s="1">
        <v>-0.48</v>
      </c>
      <c r="AU35">
        <f t="shared" si="18"/>
        <v>0.65040196760000002</v>
      </c>
      <c r="AV35">
        <f t="shared" si="19"/>
        <v>0.40789636256000006</v>
      </c>
      <c r="AW35">
        <v>-0.09</v>
      </c>
      <c r="AX35">
        <v>1997</v>
      </c>
    </row>
    <row r="36" spans="1:50" x14ac:dyDescent="0.2">
      <c r="A36">
        <f t="shared" si="10"/>
        <v>0.58594900000000005</v>
      </c>
      <c r="B36">
        <f t="shared" si="11"/>
        <v>0.66500000000000004</v>
      </c>
      <c r="C36">
        <f t="shared" si="12"/>
        <v>0.16310000000000002</v>
      </c>
      <c r="D36">
        <f t="shared" si="13"/>
        <v>9.9960000000000031E-3</v>
      </c>
      <c r="E36">
        <v>-0.5</v>
      </c>
      <c r="F36">
        <v>1</v>
      </c>
      <c r="G36">
        <v>1</v>
      </c>
      <c r="H36">
        <v>0</v>
      </c>
      <c r="I36">
        <v>-0.5</v>
      </c>
      <c r="J36">
        <v>-7.0000000000000007E-2</v>
      </c>
      <c r="K36">
        <v>0.1</v>
      </c>
      <c r="L36">
        <v>-1.2</v>
      </c>
      <c r="M36">
        <v>7.0000000000000007E-2</v>
      </c>
      <c r="N36">
        <v>-1.1000000000000001</v>
      </c>
      <c r="O36">
        <v>0.03</v>
      </c>
      <c r="P36">
        <v>-0.6</v>
      </c>
      <c r="Q36">
        <v>0.04</v>
      </c>
      <c r="R36">
        <v>-0.7</v>
      </c>
      <c r="T36">
        <f t="shared" si="14"/>
        <v>0.43293440000000011</v>
      </c>
      <c r="U36">
        <f t="shared" si="15"/>
        <v>0.40250000000000008</v>
      </c>
      <c r="V36">
        <f t="shared" si="16"/>
        <v>-5.9760000000000008E-2</v>
      </c>
      <c r="W36">
        <f t="shared" si="17"/>
        <v>2.2176000000000001E-3</v>
      </c>
      <c r="X36">
        <v>-0.5</v>
      </c>
      <c r="Y36">
        <v>1</v>
      </c>
      <c r="Z36">
        <v>1</v>
      </c>
      <c r="AA36">
        <v>0</v>
      </c>
      <c r="AB36">
        <v>0.5</v>
      </c>
      <c r="AC36">
        <v>0.04</v>
      </c>
      <c r="AD36" s="1">
        <v>1.1000000000000001</v>
      </c>
      <c r="AE36" s="1">
        <v>-1.05</v>
      </c>
      <c r="AF36" s="1">
        <v>0.9</v>
      </c>
      <c r="AG36" s="1">
        <v>-0.87</v>
      </c>
      <c r="AH36" s="1">
        <v>0.46</v>
      </c>
      <c r="AI36" s="1">
        <v>-0.45</v>
      </c>
      <c r="AJ36" s="1">
        <v>0.5</v>
      </c>
      <c r="AK36" s="1">
        <v>-0.48</v>
      </c>
      <c r="AU36">
        <f t="shared" si="18"/>
        <v>0.65040196760000002</v>
      </c>
      <c r="AV36">
        <f t="shared" si="19"/>
        <v>0.40789636256000006</v>
      </c>
      <c r="AW36">
        <v>-0.09</v>
      </c>
      <c r="AX36">
        <v>1999</v>
      </c>
    </row>
    <row r="37" spans="1:50" x14ac:dyDescent="0.2">
      <c r="A37">
        <f t="shared" si="10"/>
        <v>0.60135936000000012</v>
      </c>
      <c r="B37">
        <f t="shared" si="11"/>
        <v>0.66500000000000004</v>
      </c>
      <c r="C37">
        <f t="shared" si="12"/>
        <v>0.16310000000000002</v>
      </c>
      <c r="D37">
        <f t="shared" si="13"/>
        <v>9.9960000000000031E-3</v>
      </c>
      <c r="E37">
        <v>-0.4</v>
      </c>
      <c r="F37">
        <v>1</v>
      </c>
      <c r="G37">
        <v>1</v>
      </c>
      <c r="H37">
        <v>0</v>
      </c>
      <c r="I37">
        <v>-0.5</v>
      </c>
      <c r="J37">
        <v>-7.0000000000000007E-2</v>
      </c>
      <c r="K37">
        <v>0.1</v>
      </c>
      <c r="L37">
        <v>-1.2</v>
      </c>
      <c r="M37">
        <v>7.0000000000000007E-2</v>
      </c>
      <c r="N37">
        <v>-1.1000000000000001</v>
      </c>
      <c r="O37">
        <v>0.03</v>
      </c>
      <c r="P37">
        <v>-0.6</v>
      </c>
      <c r="Q37">
        <v>0.04</v>
      </c>
      <c r="R37">
        <v>-0.7</v>
      </c>
      <c r="T37">
        <f t="shared" si="14"/>
        <v>0.42675881600000004</v>
      </c>
      <c r="U37">
        <f t="shared" si="15"/>
        <v>0.40250000000000008</v>
      </c>
      <c r="V37">
        <f t="shared" si="16"/>
        <v>-5.9760000000000008E-2</v>
      </c>
      <c r="W37">
        <f t="shared" si="17"/>
        <v>2.2176000000000001E-3</v>
      </c>
      <c r="X37">
        <v>-0.4</v>
      </c>
      <c r="Y37">
        <v>1</v>
      </c>
      <c r="Z37">
        <v>1</v>
      </c>
      <c r="AA37">
        <v>0</v>
      </c>
      <c r="AB37">
        <v>0.5</v>
      </c>
      <c r="AC37">
        <v>0.04</v>
      </c>
      <c r="AD37" s="1">
        <v>1.1000000000000001</v>
      </c>
      <c r="AE37" s="1">
        <v>-1.05</v>
      </c>
      <c r="AF37" s="1">
        <v>0.9</v>
      </c>
      <c r="AG37" s="1">
        <v>-0.87</v>
      </c>
      <c r="AH37" s="1">
        <v>0.46</v>
      </c>
      <c r="AI37" s="1">
        <v>-0.45</v>
      </c>
      <c r="AJ37" s="1">
        <v>0.5</v>
      </c>
      <c r="AK37" s="1">
        <v>-0.48</v>
      </c>
      <c r="AU37">
        <f t="shared" si="18"/>
        <v>0.80546331040000008</v>
      </c>
      <c r="AV37">
        <f t="shared" si="19"/>
        <v>0.35498791424000004</v>
      </c>
      <c r="AW37">
        <v>0.82</v>
      </c>
      <c r="AX37">
        <v>2001</v>
      </c>
    </row>
    <row r="38" spans="1:50" x14ac:dyDescent="0.2">
      <c r="A38">
        <f t="shared" si="10"/>
        <v>0.61696963999999999</v>
      </c>
      <c r="B38">
        <f t="shared" si="11"/>
        <v>0.66500000000000004</v>
      </c>
      <c r="C38">
        <f t="shared" si="12"/>
        <v>0.16310000000000002</v>
      </c>
      <c r="D38">
        <f t="shared" si="13"/>
        <v>9.9960000000000031E-3</v>
      </c>
      <c r="E38">
        <v>-0.3</v>
      </c>
      <c r="F38">
        <v>1</v>
      </c>
      <c r="G38">
        <v>1</v>
      </c>
      <c r="H38">
        <v>0</v>
      </c>
      <c r="I38">
        <v>-0.5</v>
      </c>
      <c r="J38">
        <v>-7.0000000000000007E-2</v>
      </c>
      <c r="K38">
        <v>0.1</v>
      </c>
      <c r="L38">
        <v>-1.2</v>
      </c>
      <c r="M38">
        <v>7.0000000000000007E-2</v>
      </c>
      <c r="N38">
        <v>-1.1000000000000001</v>
      </c>
      <c r="O38">
        <v>0.03</v>
      </c>
      <c r="P38">
        <v>-0.6</v>
      </c>
      <c r="Q38">
        <v>0.04</v>
      </c>
      <c r="R38">
        <v>-0.7</v>
      </c>
      <c r="T38">
        <f t="shared" si="14"/>
        <v>0.42062758400000005</v>
      </c>
      <c r="U38">
        <f t="shared" si="15"/>
        <v>0.40250000000000008</v>
      </c>
      <c r="V38">
        <f t="shared" si="16"/>
        <v>-5.9760000000000008E-2</v>
      </c>
      <c r="W38">
        <f t="shared" si="17"/>
        <v>2.2176000000000001E-3</v>
      </c>
      <c r="X38">
        <v>-0.3</v>
      </c>
      <c r="Y38">
        <v>1</v>
      </c>
      <c r="Z38">
        <v>1</v>
      </c>
      <c r="AA38">
        <v>0</v>
      </c>
      <c r="AB38">
        <v>0.5</v>
      </c>
      <c r="AC38">
        <v>0.04</v>
      </c>
      <c r="AD38" s="1">
        <v>1.1000000000000001</v>
      </c>
      <c r="AE38" s="1">
        <v>-1.05</v>
      </c>
      <c r="AF38" s="1">
        <v>0.9</v>
      </c>
      <c r="AG38" s="1">
        <v>-0.87</v>
      </c>
      <c r="AH38" s="1">
        <v>0.46</v>
      </c>
      <c r="AI38" s="1">
        <v>-0.45</v>
      </c>
      <c r="AJ38" s="1">
        <v>0.5</v>
      </c>
      <c r="AK38" s="1">
        <v>-0.48</v>
      </c>
      <c r="AU38">
        <f t="shared" si="18"/>
        <v>0.83809600000000006</v>
      </c>
      <c r="AV38">
        <f t="shared" si="19"/>
        <v>0.34495760000000003</v>
      </c>
      <c r="AW38">
        <v>1</v>
      </c>
      <c r="AX38">
        <v>2003</v>
      </c>
    </row>
    <row r="39" spans="1:50" x14ac:dyDescent="0.2">
      <c r="A39">
        <f t="shared" si="10"/>
        <v>0.63277984000000009</v>
      </c>
      <c r="B39">
        <f t="shared" si="11"/>
        <v>0.66500000000000004</v>
      </c>
      <c r="C39">
        <f t="shared" si="12"/>
        <v>0.16310000000000002</v>
      </c>
      <c r="D39">
        <f t="shared" si="13"/>
        <v>9.9960000000000031E-3</v>
      </c>
      <c r="E39">
        <v>-0.2</v>
      </c>
      <c r="F39">
        <v>1</v>
      </c>
      <c r="G39">
        <v>1</v>
      </c>
      <c r="H39">
        <v>0</v>
      </c>
      <c r="I39">
        <v>-0.5</v>
      </c>
      <c r="J39">
        <v>-7.0000000000000007E-2</v>
      </c>
      <c r="K39">
        <v>0.1</v>
      </c>
      <c r="L39">
        <v>-1.2</v>
      </c>
      <c r="M39">
        <v>7.0000000000000007E-2</v>
      </c>
      <c r="N39">
        <v>-1.1000000000000001</v>
      </c>
      <c r="O39">
        <v>0.03</v>
      </c>
      <c r="P39">
        <v>-0.6</v>
      </c>
      <c r="Q39">
        <v>0.04</v>
      </c>
      <c r="R39">
        <v>-0.7</v>
      </c>
      <c r="T39">
        <f t="shared" si="14"/>
        <v>0.41454070400000009</v>
      </c>
      <c r="U39">
        <f t="shared" si="15"/>
        <v>0.40250000000000008</v>
      </c>
      <c r="V39">
        <f t="shared" si="16"/>
        <v>-5.9760000000000008E-2</v>
      </c>
      <c r="W39">
        <f t="shared" si="17"/>
        <v>2.2176000000000001E-3</v>
      </c>
      <c r="X39">
        <v>-0.2</v>
      </c>
      <c r="Y39">
        <v>1</v>
      </c>
      <c r="Z39">
        <v>1</v>
      </c>
      <c r="AA39">
        <v>0</v>
      </c>
      <c r="AB39">
        <v>0.5</v>
      </c>
      <c r="AC39">
        <v>0.04</v>
      </c>
      <c r="AD39" s="1">
        <v>1.1000000000000001</v>
      </c>
      <c r="AE39" s="1">
        <v>-1.05</v>
      </c>
      <c r="AF39" s="1">
        <v>0.9</v>
      </c>
      <c r="AG39" s="1">
        <v>-0.87</v>
      </c>
      <c r="AH39" s="1">
        <v>0.46</v>
      </c>
      <c r="AI39" s="1">
        <v>-0.45</v>
      </c>
      <c r="AJ39" s="1">
        <v>0.5</v>
      </c>
      <c r="AK39" s="1">
        <v>-0.48</v>
      </c>
      <c r="AU39">
        <f t="shared" si="18"/>
        <v>0.83809600000000006</v>
      </c>
      <c r="AV39">
        <f t="shared" si="19"/>
        <v>0.34495760000000003</v>
      </c>
      <c r="AW39">
        <v>1</v>
      </c>
      <c r="AX39">
        <v>2005</v>
      </c>
    </row>
    <row r="40" spans="1:50" x14ac:dyDescent="0.2">
      <c r="A40">
        <f t="shared" si="10"/>
        <v>0.64878996</v>
      </c>
      <c r="B40">
        <f t="shared" si="11"/>
        <v>0.66500000000000004</v>
      </c>
      <c r="C40">
        <f t="shared" si="12"/>
        <v>0.16310000000000002</v>
      </c>
      <c r="D40">
        <f t="shared" si="13"/>
        <v>9.9960000000000031E-3</v>
      </c>
      <c r="E40">
        <v>-0.1</v>
      </c>
      <c r="F40">
        <v>1</v>
      </c>
      <c r="G40">
        <v>1</v>
      </c>
      <c r="H40">
        <v>0</v>
      </c>
      <c r="I40">
        <v>-0.5</v>
      </c>
      <c r="J40">
        <v>-7.0000000000000007E-2</v>
      </c>
      <c r="K40">
        <v>0.1</v>
      </c>
      <c r="L40">
        <v>-1.2</v>
      </c>
      <c r="M40">
        <v>7.0000000000000007E-2</v>
      </c>
      <c r="N40">
        <v>-1.1000000000000001</v>
      </c>
      <c r="O40">
        <v>0.03</v>
      </c>
      <c r="P40">
        <v>-0.6</v>
      </c>
      <c r="Q40">
        <v>0.04</v>
      </c>
      <c r="R40">
        <v>-0.7</v>
      </c>
      <c r="T40">
        <f t="shared" si="14"/>
        <v>0.40849817600000005</v>
      </c>
      <c r="U40">
        <f t="shared" si="15"/>
        <v>0.40250000000000008</v>
      </c>
      <c r="V40">
        <f t="shared" si="16"/>
        <v>-5.9760000000000008E-2</v>
      </c>
      <c r="W40">
        <f t="shared" si="17"/>
        <v>2.2176000000000001E-3</v>
      </c>
      <c r="X40">
        <v>-0.1</v>
      </c>
      <c r="Y40">
        <v>1</v>
      </c>
      <c r="Z40">
        <v>1</v>
      </c>
      <c r="AA40">
        <v>0</v>
      </c>
      <c r="AB40">
        <v>0.5</v>
      </c>
      <c r="AC40">
        <v>0.04</v>
      </c>
      <c r="AD40" s="1">
        <v>1.1000000000000001</v>
      </c>
      <c r="AE40" s="1">
        <v>-1.05</v>
      </c>
      <c r="AF40" s="1">
        <v>0.9</v>
      </c>
      <c r="AG40" s="1">
        <v>-0.87</v>
      </c>
      <c r="AH40" s="1">
        <v>0.46</v>
      </c>
      <c r="AI40" s="1">
        <v>-0.45</v>
      </c>
      <c r="AJ40" s="1">
        <v>0.5</v>
      </c>
      <c r="AK40" s="1">
        <v>-0.48</v>
      </c>
      <c r="AU40">
        <f t="shared" si="18"/>
        <v>0.70976570840000008</v>
      </c>
      <c r="AV40">
        <f t="shared" si="19"/>
        <v>0.38652646304000005</v>
      </c>
      <c r="AW40">
        <v>0.27</v>
      </c>
      <c r="AX40">
        <v>2007</v>
      </c>
    </row>
    <row r="41" spans="1:50" x14ac:dyDescent="0.2">
      <c r="A41">
        <f t="shared" si="10"/>
        <v>0.66500000000000004</v>
      </c>
      <c r="B41">
        <f t="shared" si="11"/>
        <v>0.66500000000000004</v>
      </c>
      <c r="C41">
        <f t="shared" si="12"/>
        <v>0.16310000000000002</v>
      </c>
      <c r="D41">
        <f t="shared" si="13"/>
        <v>9.9960000000000031E-3</v>
      </c>
      <c r="E41">
        <v>0</v>
      </c>
      <c r="F41">
        <v>1</v>
      </c>
      <c r="G41">
        <v>1</v>
      </c>
      <c r="H41">
        <v>0</v>
      </c>
      <c r="I41">
        <v>-0.5</v>
      </c>
      <c r="J41">
        <v>-7.0000000000000007E-2</v>
      </c>
      <c r="K41">
        <v>0.1</v>
      </c>
      <c r="L41">
        <v>-1.2</v>
      </c>
      <c r="M41">
        <v>7.0000000000000007E-2</v>
      </c>
      <c r="N41">
        <v>-1.1000000000000001</v>
      </c>
      <c r="O41">
        <v>0.03</v>
      </c>
      <c r="P41">
        <v>-0.6</v>
      </c>
      <c r="Q41">
        <v>0.04</v>
      </c>
      <c r="R41">
        <v>-0.7</v>
      </c>
      <c r="T41">
        <f t="shared" si="14"/>
        <v>0.40250000000000008</v>
      </c>
      <c r="U41">
        <f t="shared" si="15"/>
        <v>0.40250000000000008</v>
      </c>
      <c r="V41">
        <f t="shared" si="16"/>
        <v>-5.9760000000000008E-2</v>
      </c>
      <c r="W41">
        <f t="shared" si="17"/>
        <v>2.2176000000000001E-3</v>
      </c>
      <c r="X41">
        <v>0</v>
      </c>
      <c r="Y41">
        <v>1</v>
      </c>
      <c r="Z41">
        <v>1</v>
      </c>
      <c r="AA41">
        <v>0</v>
      </c>
      <c r="AB41">
        <v>0.5</v>
      </c>
      <c r="AC41">
        <v>0.04</v>
      </c>
      <c r="AD41" s="1">
        <v>1.1000000000000001</v>
      </c>
      <c r="AE41" s="1">
        <v>-1.05</v>
      </c>
      <c r="AF41" s="1">
        <v>0.9</v>
      </c>
      <c r="AG41" s="1">
        <v>-0.87</v>
      </c>
      <c r="AH41" s="1">
        <v>0.46</v>
      </c>
      <c r="AI41" s="1">
        <v>-0.45</v>
      </c>
      <c r="AJ41" s="1">
        <v>0.5</v>
      </c>
      <c r="AK41" s="1">
        <v>-0.48</v>
      </c>
      <c r="AU41">
        <f t="shared" si="18"/>
        <v>0.51189600000000002</v>
      </c>
      <c r="AV41">
        <f t="shared" si="19"/>
        <v>0.4644776000000001</v>
      </c>
      <c r="AW41">
        <v>-1</v>
      </c>
      <c r="AX41">
        <v>2009</v>
      </c>
    </row>
    <row r="42" spans="1:50" x14ac:dyDescent="0.2">
      <c r="A42">
        <f t="shared" si="10"/>
        <v>0.68140996000000009</v>
      </c>
      <c r="B42">
        <f t="shared" si="11"/>
        <v>0.66500000000000004</v>
      </c>
      <c r="C42">
        <f t="shared" si="12"/>
        <v>0.16310000000000002</v>
      </c>
      <c r="D42">
        <f t="shared" si="13"/>
        <v>9.9960000000000031E-3</v>
      </c>
      <c r="E42">
        <v>0.1</v>
      </c>
      <c r="F42">
        <v>1</v>
      </c>
      <c r="G42">
        <v>1</v>
      </c>
      <c r="H42">
        <v>0</v>
      </c>
      <c r="I42">
        <v>-0.5</v>
      </c>
      <c r="J42">
        <v>-7.0000000000000007E-2</v>
      </c>
      <c r="K42">
        <v>0.1</v>
      </c>
      <c r="L42">
        <v>-1.2</v>
      </c>
      <c r="M42">
        <v>7.0000000000000007E-2</v>
      </c>
      <c r="N42">
        <v>-1.1000000000000001</v>
      </c>
      <c r="O42">
        <v>0.03</v>
      </c>
      <c r="P42">
        <v>-0.6</v>
      </c>
      <c r="Q42">
        <v>0.04</v>
      </c>
      <c r="R42">
        <v>-0.7</v>
      </c>
      <c r="T42">
        <f t="shared" si="14"/>
        <v>0.39654617600000008</v>
      </c>
      <c r="U42">
        <f t="shared" si="15"/>
        <v>0.40250000000000008</v>
      </c>
      <c r="V42">
        <f t="shared" si="16"/>
        <v>-5.9760000000000008E-2</v>
      </c>
      <c r="W42">
        <f t="shared" si="17"/>
        <v>2.2176000000000001E-3</v>
      </c>
      <c r="X42">
        <v>0.1</v>
      </c>
      <c r="Y42">
        <v>1</v>
      </c>
      <c r="Z42">
        <v>1</v>
      </c>
      <c r="AA42">
        <v>0</v>
      </c>
      <c r="AB42">
        <v>0.5</v>
      </c>
      <c r="AC42">
        <v>0.04</v>
      </c>
      <c r="AD42" s="1">
        <v>1.1000000000000001</v>
      </c>
      <c r="AE42" s="1">
        <v>-1.05</v>
      </c>
      <c r="AF42" s="1">
        <v>0.9</v>
      </c>
      <c r="AG42" s="1">
        <v>-0.87</v>
      </c>
      <c r="AH42" s="1">
        <v>0.46</v>
      </c>
      <c r="AI42" s="1">
        <v>-0.45</v>
      </c>
      <c r="AJ42" s="1">
        <v>0.5</v>
      </c>
      <c r="AK42" s="1">
        <v>-0.48</v>
      </c>
      <c r="AU42">
        <f t="shared" si="18"/>
        <v>0.59362919000000003</v>
      </c>
      <c r="AV42">
        <f t="shared" si="19"/>
        <v>0.42984106400000011</v>
      </c>
      <c r="AW42">
        <v>-0.45</v>
      </c>
      <c r="AX42">
        <v>2011</v>
      </c>
    </row>
    <row r="43" spans="1:50" x14ac:dyDescent="0.2">
      <c r="A43">
        <f t="shared" si="10"/>
        <v>0.69801984000000006</v>
      </c>
      <c r="B43">
        <f t="shared" si="11"/>
        <v>0.66500000000000004</v>
      </c>
      <c r="C43">
        <f t="shared" si="12"/>
        <v>0.16310000000000002</v>
      </c>
      <c r="D43">
        <f t="shared" si="13"/>
        <v>9.9960000000000031E-3</v>
      </c>
      <c r="E43">
        <v>0.2</v>
      </c>
      <c r="F43">
        <v>1</v>
      </c>
      <c r="G43">
        <v>1</v>
      </c>
      <c r="H43">
        <v>0</v>
      </c>
      <c r="I43">
        <v>-0.5</v>
      </c>
      <c r="J43">
        <v>-7.0000000000000007E-2</v>
      </c>
      <c r="K43">
        <v>0.1</v>
      </c>
      <c r="L43">
        <v>-1.2</v>
      </c>
      <c r="M43">
        <v>7.0000000000000007E-2</v>
      </c>
      <c r="N43">
        <v>-1.1000000000000001</v>
      </c>
      <c r="O43">
        <v>0.03</v>
      </c>
      <c r="P43">
        <v>-0.6</v>
      </c>
      <c r="Q43">
        <v>0.04</v>
      </c>
      <c r="R43">
        <v>-0.7</v>
      </c>
      <c r="T43">
        <f t="shared" si="14"/>
        <v>0.39063670400000006</v>
      </c>
      <c r="U43">
        <f t="shared" si="15"/>
        <v>0.40250000000000008</v>
      </c>
      <c r="V43">
        <f t="shared" si="16"/>
        <v>-5.9760000000000008E-2</v>
      </c>
      <c r="W43">
        <f t="shared" si="17"/>
        <v>2.2176000000000001E-3</v>
      </c>
      <c r="X43">
        <v>0.2</v>
      </c>
      <c r="Y43">
        <v>1</v>
      </c>
      <c r="Z43">
        <v>1</v>
      </c>
      <c r="AA43">
        <v>0</v>
      </c>
      <c r="AB43">
        <v>0.5</v>
      </c>
      <c r="AC43">
        <v>0.04</v>
      </c>
      <c r="AD43" s="1">
        <v>1.1000000000000001</v>
      </c>
      <c r="AE43" s="1">
        <v>-1.05</v>
      </c>
      <c r="AF43" s="1">
        <v>0.9</v>
      </c>
      <c r="AG43" s="1">
        <v>-0.87</v>
      </c>
      <c r="AH43" s="1">
        <v>0.46</v>
      </c>
      <c r="AI43" s="1">
        <v>-0.45</v>
      </c>
      <c r="AJ43" s="1">
        <v>0.5</v>
      </c>
      <c r="AK43" s="1">
        <v>-0.48</v>
      </c>
      <c r="AU43">
        <f t="shared" si="18"/>
        <v>0.59362919000000003</v>
      </c>
      <c r="AV43">
        <f t="shared" si="19"/>
        <v>0.42984106400000011</v>
      </c>
      <c r="AW43">
        <v>-0.45</v>
      </c>
      <c r="AX43">
        <v>2013</v>
      </c>
    </row>
    <row r="44" spans="1:50" x14ac:dyDescent="0.2">
      <c r="A44">
        <f t="shared" si="10"/>
        <v>0.71482964000000004</v>
      </c>
      <c r="B44">
        <f t="shared" si="11"/>
        <v>0.66500000000000004</v>
      </c>
      <c r="C44">
        <f t="shared" si="12"/>
        <v>0.16310000000000002</v>
      </c>
      <c r="D44">
        <f t="shared" si="13"/>
        <v>9.9960000000000031E-3</v>
      </c>
      <c r="E44">
        <v>0.3</v>
      </c>
      <c r="F44">
        <v>1</v>
      </c>
      <c r="G44">
        <v>1</v>
      </c>
      <c r="H44">
        <v>0</v>
      </c>
      <c r="I44">
        <v>-0.5</v>
      </c>
      <c r="J44">
        <v>-7.0000000000000007E-2</v>
      </c>
      <c r="K44">
        <v>0.1</v>
      </c>
      <c r="L44">
        <v>-1.2</v>
      </c>
      <c r="M44">
        <v>7.0000000000000007E-2</v>
      </c>
      <c r="N44">
        <v>-1.1000000000000001</v>
      </c>
      <c r="O44">
        <v>0.03</v>
      </c>
      <c r="P44">
        <v>-0.6</v>
      </c>
      <c r="Q44">
        <v>0.04</v>
      </c>
      <c r="R44">
        <v>-0.7</v>
      </c>
      <c r="T44">
        <f t="shared" si="14"/>
        <v>0.38477158400000006</v>
      </c>
      <c r="U44">
        <f t="shared" si="15"/>
        <v>0.40250000000000008</v>
      </c>
      <c r="V44">
        <f t="shared" si="16"/>
        <v>-5.9760000000000008E-2</v>
      </c>
      <c r="W44">
        <f t="shared" si="17"/>
        <v>2.2176000000000001E-3</v>
      </c>
      <c r="X44">
        <v>0.3</v>
      </c>
      <c r="Y44">
        <v>1</v>
      </c>
      <c r="Z44">
        <v>1</v>
      </c>
      <c r="AA44">
        <v>0</v>
      </c>
      <c r="AB44">
        <v>0.5</v>
      </c>
      <c r="AC44">
        <v>0.04</v>
      </c>
      <c r="AD44" s="1">
        <v>1.1000000000000001</v>
      </c>
      <c r="AE44" s="1">
        <v>-1.05</v>
      </c>
      <c r="AF44" s="1">
        <v>0.9</v>
      </c>
      <c r="AG44" s="1">
        <v>-0.87</v>
      </c>
      <c r="AH44" s="1">
        <v>0.46</v>
      </c>
      <c r="AI44" s="1">
        <v>-0.45</v>
      </c>
      <c r="AJ44" s="1">
        <v>0.5</v>
      </c>
      <c r="AK44" s="1">
        <v>-0.48</v>
      </c>
      <c r="AU44">
        <f t="shared" si="18"/>
        <v>0.65040196760000002</v>
      </c>
      <c r="AV44">
        <f t="shared" si="19"/>
        <v>0.40789636256000006</v>
      </c>
      <c r="AW44">
        <v>-0.09</v>
      </c>
      <c r="AX44">
        <v>2015</v>
      </c>
    </row>
    <row r="45" spans="1:50" x14ac:dyDescent="0.2">
      <c r="A45">
        <f t="shared" si="10"/>
        <v>0.73183936000000005</v>
      </c>
      <c r="B45">
        <f t="shared" si="11"/>
        <v>0.66500000000000004</v>
      </c>
      <c r="C45">
        <f t="shared" si="12"/>
        <v>0.16310000000000002</v>
      </c>
      <c r="D45">
        <f t="shared" si="13"/>
        <v>9.9960000000000031E-3</v>
      </c>
      <c r="E45">
        <v>0.4</v>
      </c>
      <c r="F45">
        <v>1</v>
      </c>
      <c r="G45">
        <v>1</v>
      </c>
      <c r="H45">
        <v>0</v>
      </c>
      <c r="I45">
        <v>-0.5</v>
      </c>
      <c r="J45">
        <v>-7.0000000000000007E-2</v>
      </c>
      <c r="K45">
        <v>0.1</v>
      </c>
      <c r="L45">
        <v>-1.2</v>
      </c>
      <c r="M45">
        <v>7.0000000000000007E-2</v>
      </c>
      <c r="N45">
        <v>-1.1000000000000001</v>
      </c>
      <c r="O45">
        <v>0.03</v>
      </c>
      <c r="P45">
        <v>-0.6</v>
      </c>
      <c r="Q45">
        <v>0.04</v>
      </c>
      <c r="R45">
        <v>-0.7</v>
      </c>
      <c r="T45">
        <f t="shared" si="14"/>
        <v>0.37895081600000008</v>
      </c>
      <c r="U45">
        <f t="shared" si="15"/>
        <v>0.40250000000000008</v>
      </c>
      <c r="V45">
        <f t="shared" si="16"/>
        <v>-5.9760000000000008E-2</v>
      </c>
      <c r="W45">
        <f t="shared" si="17"/>
        <v>2.2176000000000001E-3</v>
      </c>
      <c r="X45">
        <v>0.4</v>
      </c>
      <c r="Y45">
        <v>1</v>
      </c>
      <c r="Z45">
        <v>1</v>
      </c>
      <c r="AA45">
        <v>0</v>
      </c>
      <c r="AB45">
        <v>0.5</v>
      </c>
      <c r="AC45">
        <v>0.04</v>
      </c>
      <c r="AD45" s="1">
        <v>1.1000000000000001</v>
      </c>
      <c r="AE45" s="1">
        <v>-1.05</v>
      </c>
      <c r="AF45" s="1">
        <v>0.9</v>
      </c>
      <c r="AG45" s="1">
        <v>-0.87</v>
      </c>
      <c r="AH45" s="1">
        <v>0.46</v>
      </c>
      <c r="AI45" s="1">
        <v>-0.45</v>
      </c>
      <c r="AJ45" s="1">
        <v>0.5</v>
      </c>
      <c r="AK45" s="1">
        <v>-0.48</v>
      </c>
      <c r="AU45">
        <f t="shared" si="18"/>
        <v>0.87511424000000004</v>
      </c>
      <c r="AV45">
        <f t="shared" si="19"/>
        <v>0.33398134400000007</v>
      </c>
      <c r="AW45">
        <v>1.2</v>
      </c>
      <c r="AX45">
        <v>2017</v>
      </c>
    </row>
    <row r="46" spans="1:50" x14ac:dyDescent="0.2">
      <c r="A46">
        <f t="shared" si="10"/>
        <v>0.74904900000000008</v>
      </c>
      <c r="B46">
        <f t="shared" si="11"/>
        <v>0.66500000000000004</v>
      </c>
      <c r="C46">
        <f t="shared" si="12"/>
        <v>0.16310000000000002</v>
      </c>
      <c r="D46">
        <f t="shared" si="13"/>
        <v>9.9960000000000031E-3</v>
      </c>
      <c r="E46">
        <v>0.5</v>
      </c>
      <c r="F46">
        <v>1</v>
      </c>
      <c r="G46">
        <v>1</v>
      </c>
      <c r="H46">
        <v>0</v>
      </c>
      <c r="I46">
        <v>-0.5</v>
      </c>
      <c r="J46">
        <v>-7.0000000000000007E-2</v>
      </c>
      <c r="K46">
        <v>0.1</v>
      </c>
      <c r="L46">
        <v>-1.2</v>
      </c>
      <c r="M46">
        <v>7.0000000000000007E-2</v>
      </c>
      <c r="N46">
        <v>-1.1000000000000001</v>
      </c>
      <c r="O46">
        <v>0.03</v>
      </c>
      <c r="P46">
        <v>-0.6</v>
      </c>
      <c r="Q46">
        <v>0.04</v>
      </c>
      <c r="R46">
        <v>-0.7</v>
      </c>
      <c r="T46">
        <f t="shared" si="14"/>
        <v>0.37317440000000007</v>
      </c>
      <c r="U46">
        <f t="shared" si="15"/>
        <v>0.40250000000000008</v>
      </c>
      <c r="V46">
        <f t="shared" si="16"/>
        <v>-5.9760000000000008E-2</v>
      </c>
      <c r="W46">
        <f t="shared" si="17"/>
        <v>2.2176000000000001E-3</v>
      </c>
      <c r="X46">
        <v>0.5</v>
      </c>
      <c r="Y46">
        <v>1</v>
      </c>
      <c r="Z46">
        <v>1</v>
      </c>
      <c r="AA46">
        <v>0</v>
      </c>
      <c r="AB46">
        <v>0.5</v>
      </c>
      <c r="AC46">
        <v>0.04</v>
      </c>
      <c r="AD46" s="1">
        <v>1.1000000000000001</v>
      </c>
      <c r="AE46" s="1">
        <v>-1.05</v>
      </c>
      <c r="AF46" s="1">
        <v>0.9</v>
      </c>
      <c r="AG46" s="1">
        <v>-0.87</v>
      </c>
      <c r="AH46" s="1">
        <v>0.46</v>
      </c>
      <c r="AI46" s="1">
        <v>-0.45</v>
      </c>
      <c r="AJ46" s="1">
        <v>0.5</v>
      </c>
      <c r="AK46" s="1">
        <v>-0.48</v>
      </c>
      <c r="AU46">
        <f t="shared" si="18"/>
        <v>0.77523830999999999</v>
      </c>
      <c r="AV46">
        <f t="shared" si="19"/>
        <v>0.36459293600000009</v>
      </c>
      <c r="AW46">
        <v>0.65</v>
      </c>
      <c r="AX46">
        <v>2019</v>
      </c>
    </row>
    <row r="47" spans="1:50" x14ac:dyDescent="0.2">
      <c r="A47">
        <f t="shared" si="10"/>
        <v>0.76645856000000012</v>
      </c>
      <c r="B47">
        <f t="shared" si="11"/>
        <v>0.66500000000000004</v>
      </c>
      <c r="C47">
        <f t="shared" si="12"/>
        <v>0.16310000000000002</v>
      </c>
      <c r="D47">
        <f t="shared" si="13"/>
        <v>9.9960000000000031E-3</v>
      </c>
      <c r="E47">
        <v>0.6</v>
      </c>
      <c r="F47">
        <v>1</v>
      </c>
      <c r="G47">
        <v>1</v>
      </c>
      <c r="H47">
        <v>0</v>
      </c>
      <c r="I47">
        <v>-0.5</v>
      </c>
      <c r="J47">
        <v>-7.0000000000000007E-2</v>
      </c>
      <c r="K47">
        <v>0.1</v>
      </c>
      <c r="L47">
        <v>-1.2</v>
      </c>
      <c r="M47">
        <v>7.0000000000000007E-2</v>
      </c>
      <c r="N47">
        <v>-1.1000000000000001</v>
      </c>
      <c r="O47">
        <v>0.03</v>
      </c>
      <c r="P47">
        <v>-0.6</v>
      </c>
      <c r="Q47">
        <v>0.04</v>
      </c>
      <c r="R47">
        <v>-0.7</v>
      </c>
      <c r="T47">
        <f t="shared" si="14"/>
        <v>0.36744233600000009</v>
      </c>
      <c r="U47">
        <f t="shared" si="15"/>
        <v>0.40250000000000008</v>
      </c>
      <c r="V47">
        <f t="shared" si="16"/>
        <v>-5.9760000000000008E-2</v>
      </c>
      <c r="W47">
        <f t="shared" si="17"/>
        <v>2.2176000000000001E-3</v>
      </c>
      <c r="X47">
        <v>0.6</v>
      </c>
      <c r="Y47">
        <v>1</v>
      </c>
      <c r="Z47">
        <v>1</v>
      </c>
      <c r="AA47">
        <v>0</v>
      </c>
      <c r="AB47">
        <v>0.5</v>
      </c>
      <c r="AC47">
        <v>0.04</v>
      </c>
      <c r="AD47" s="1">
        <v>1.1000000000000001</v>
      </c>
      <c r="AE47" s="1">
        <v>-1.05</v>
      </c>
      <c r="AF47" s="1">
        <v>0.9</v>
      </c>
      <c r="AG47" s="1">
        <v>-0.87</v>
      </c>
      <c r="AH47" s="1">
        <v>0.46</v>
      </c>
      <c r="AI47" s="1">
        <v>-0.45</v>
      </c>
      <c r="AJ47" s="1">
        <v>0.5</v>
      </c>
      <c r="AK47" s="1">
        <v>-0.48</v>
      </c>
      <c r="AU47">
        <f t="shared" si="18"/>
        <v>0.56471036159999999</v>
      </c>
      <c r="AV47">
        <f t="shared" si="19"/>
        <v>0.44165472896000008</v>
      </c>
      <c r="AW47">
        <v>-0.64</v>
      </c>
      <c r="AX47">
        <v>2021</v>
      </c>
    </row>
    <row r="48" spans="1:50" x14ac:dyDescent="0.2">
      <c r="A48">
        <f t="shared" si="10"/>
        <v>0.78406804000000008</v>
      </c>
      <c r="B48">
        <f t="shared" si="11"/>
        <v>0.66500000000000004</v>
      </c>
      <c r="C48">
        <f t="shared" si="12"/>
        <v>0.16310000000000002</v>
      </c>
      <c r="D48">
        <f t="shared" si="13"/>
        <v>9.9960000000000031E-3</v>
      </c>
      <c r="E48">
        <v>0.7</v>
      </c>
      <c r="F48">
        <v>1</v>
      </c>
      <c r="G48">
        <v>1</v>
      </c>
      <c r="H48">
        <v>0</v>
      </c>
      <c r="I48">
        <v>-0.5</v>
      </c>
      <c r="J48">
        <v>-7.0000000000000007E-2</v>
      </c>
      <c r="K48">
        <v>0.1</v>
      </c>
      <c r="L48">
        <v>-1.2</v>
      </c>
      <c r="M48">
        <v>7.0000000000000007E-2</v>
      </c>
      <c r="N48">
        <v>-1.1000000000000001</v>
      </c>
      <c r="O48">
        <v>0.03</v>
      </c>
      <c r="P48">
        <v>-0.6</v>
      </c>
      <c r="Q48">
        <v>0.04</v>
      </c>
      <c r="R48">
        <v>-0.7</v>
      </c>
      <c r="T48">
        <f t="shared" si="14"/>
        <v>0.36175462400000008</v>
      </c>
      <c r="U48">
        <f t="shared" si="15"/>
        <v>0.40250000000000008</v>
      </c>
      <c r="V48">
        <f t="shared" si="16"/>
        <v>-5.9760000000000008E-2</v>
      </c>
      <c r="W48">
        <f t="shared" si="17"/>
        <v>2.2176000000000001E-3</v>
      </c>
      <c r="X48">
        <v>0.7</v>
      </c>
      <c r="Y48">
        <v>1</v>
      </c>
      <c r="Z48">
        <v>1</v>
      </c>
      <c r="AA48">
        <v>0</v>
      </c>
      <c r="AB48">
        <v>0.5</v>
      </c>
      <c r="AC48">
        <v>0.04</v>
      </c>
      <c r="AD48" s="1">
        <v>1.1000000000000001</v>
      </c>
      <c r="AE48" s="1">
        <v>-1.05</v>
      </c>
      <c r="AF48" s="1">
        <v>0.9</v>
      </c>
      <c r="AG48" s="1">
        <v>-0.87</v>
      </c>
      <c r="AH48" s="1">
        <v>0.46</v>
      </c>
      <c r="AI48" s="1">
        <v>-0.45</v>
      </c>
      <c r="AJ48" s="1">
        <v>0.5</v>
      </c>
      <c r="AK48" s="1">
        <v>-0.48</v>
      </c>
      <c r="AU48">
        <f t="shared" si="18"/>
        <v>0.65040196760000002</v>
      </c>
      <c r="AV48">
        <f t="shared" si="19"/>
        <v>0.40789636256000006</v>
      </c>
      <c r="AW48">
        <v>-0.09</v>
      </c>
      <c r="AX48">
        <v>2023</v>
      </c>
    </row>
    <row r="49" spans="1:50" x14ac:dyDescent="0.2">
      <c r="A49">
        <f t="shared" si="10"/>
        <v>0.80187744000000005</v>
      </c>
      <c r="B49">
        <f t="shared" si="11"/>
        <v>0.66500000000000004</v>
      </c>
      <c r="C49">
        <f t="shared" si="12"/>
        <v>0.16310000000000002</v>
      </c>
      <c r="D49">
        <f t="shared" si="13"/>
        <v>9.9960000000000031E-3</v>
      </c>
      <c r="E49">
        <v>0.8</v>
      </c>
      <c r="F49">
        <v>1</v>
      </c>
      <c r="G49">
        <v>1</v>
      </c>
      <c r="H49">
        <v>0</v>
      </c>
      <c r="I49">
        <v>-0.5</v>
      </c>
      <c r="J49">
        <v>-7.0000000000000007E-2</v>
      </c>
      <c r="K49">
        <v>0.1</v>
      </c>
      <c r="L49">
        <v>-1.2</v>
      </c>
      <c r="M49">
        <v>7.0000000000000007E-2</v>
      </c>
      <c r="N49">
        <v>-1.1000000000000001</v>
      </c>
      <c r="O49">
        <v>0.03</v>
      </c>
      <c r="P49">
        <v>-0.6</v>
      </c>
      <c r="Q49">
        <v>0.04</v>
      </c>
      <c r="R49">
        <v>-0.7</v>
      </c>
      <c r="T49">
        <f t="shared" si="14"/>
        <v>0.35611126400000004</v>
      </c>
      <c r="U49">
        <f t="shared" si="15"/>
        <v>0.40250000000000008</v>
      </c>
      <c r="V49">
        <f t="shared" si="16"/>
        <v>-5.9760000000000008E-2</v>
      </c>
      <c r="W49">
        <f t="shared" si="17"/>
        <v>2.2176000000000001E-3</v>
      </c>
      <c r="X49">
        <v>0.8</v>
      </c>
      <c r="Y49">
        <v>1</v>
      </c>
      <c r="Z49">
        <v>1</v>
      </c>
      <c r="AA49">
        <v>0</v>
      </c>
      <c r="AB49">
        <v>0.5</v>
      </c>
      <c r="AC49">
        <v>0.04</v>
      </c>
      <c r="AD49" s="1">
        <v>1.1000000000000001</v>
      </c>
      <c r="AE49" s="1">
        <v>-1.05</v>
      </c>
      <c r="AF49" s="1">
        <v>0.9</v>
      </c>
      <c r="AG49" s="1">
        <v>-0.87</v>
      </c>
      <c r="AH49" s="1">
        <v>0.46</v>
      </c>
      <c r="AI49" s="1">
        <v>-0.45</v>
      </c>
      <c r="AJ49" s="1">
        <v>0.5</v>
      </c>
      <c r="AK49" s="1">
        <v>-0.48</v>
      </c>
      <c r="AU49">
        <f t="shared" si="18"/>
        <v>0.87511424000000004</v>
      </c>
      <c r="AV49">
        <f t="shared" si="19"/>
        <v>0.33398134400000007</v>
      </c>
      <c r="AW49">
        <v>1.2</v>
      </c>
      <c r="AX49">
        <v>2025</v>
      </c>
    </row>
    <row r="50" spans="1:50" x14ac:dyDescent="0.2">
      <c r="A50">
        <f t="shared" si="10"/>
        <v>0.81988676000000005</v>
      </c>
      <c r="B50">
        <f t="shared" si="11"/>
        <v>0.66500000000000004</v>
      </c>
      <c r="C50">
        <f t="shared" si="12"/>
        <v>0.16310000000000002</v>
      </c>
      <c r="D50">
        <f t="shared" si="13"/>
        <v>9.9960000000000031E-3</v>
      </c>
      <c r="E50">
        <v>0.9</v>
      </c>
      <c r="F50">
        <v>1</v>
      </c>
      <c r="G50">
        <v>1</v>
      </c>
      <c r="H50">
        <v>0</v>
      </c>
      <c r="I50">
        <v>-0.5</v>
      </c>
      <c r="J50">
        <v>-7.0000000000000007E-2</v>
      </c>
      <c r="K50">
        <v>0.1</v>
      </c>
      <c r="L50">
        <v>-1.2</v>
      </c>
      <c r="M50">
        <v>7.0000000000000007E-2</v>
      </c>
      <c r="N50">
        <v>-1.1000000000000001</v>
      </c>
      <c r="O50">
        <v>0.03</v>
      </c>
      <c r="P50">
        <v>-0.6</v>
      </c>
      <c r="Q50">
        <v>0.04</v>
      </c>
      <c r="R50">
        <v>-0.7</v>
      </c>
      <c r="T50">
        <f t="shared" si="14"/>
        <v>0.35051225600000008</v>
      </c>
      <c r="U50">
        <f t="shared" si="15"/>
        <v>0.40250000000000008</v>
      </c>
      <c r="V50">
        <f t="shared" si="16"/>
        <v>-5.9760000000000008E-2</v>
      </c>
      <c r="W50">
        <f t="shared" si="17"/>
        <v>2.2176000000000001E-3</v>
      </c>
      <c r="X50">
        <v>0.9</v>
      </c>
      <c r="Y50">
        <v>1</v>
      </c>
      <c r="Z50">
        <v>1</v>
      </c>
      <c r="AA50">
        <v>0</v>
      </c>
      <c r="AB50">
        <v>0.5</v>
      </c>
      <c r="AC50">
        <v>0.04</v>
      </c>
      <c r="AD50" s="1">
        <v>1.1000000000000001</v>
      </c>
      <c r="AE50" s="1">
        <v>-1.05</v>
      </c>
      <c r="AF50" s="1">
        <v>0.9</v>
      </c>
      <c r="AG50" s="1">
        <v>-0.87</v>
      </c>
      <c r="AH50" s="1">
        <v>0.46</v>
      </c>
      <c r="AI50" s="1">
        <v>-0.45</v>
      </c>
      <c r="AJ50" s="1">
        <v>0.5</v>
      </c>
      <c r="AK50" s="1">
        <v>-0.48</v>
      </c>
    </row>
    <row r="51" spans="1:50" x14ac:dyDescent="0.2">
      <c r="A51">
        <f t="shared" si="10"/>
        <v>0.83809600000000006</v>
      </c>
      <c r="B51">
        <f t="shared" si="11"/>
        <v>0.66500000000000004</v>
      </c>
      <c r="C51">
        <f t="shared" si="12"/>
        <v>0.16310000000000002</v>
      </c>
      <c r="D51">
        <f t="shared" si="13"/>
        <v>9.9960000000000031E-3</v>
      </c>
      <c r="E51">
        <v>1</v>
      </c>
      <c r="F51">
        <v>1</v>
      </c>
      <c r="G51">
        <v>1</v>
      </c>
      <c r="H51">
        <v>0</v>
      </c>
      <c r="I51">
        <v>-0.5</v>
      </c>
      <c r="J51">
        <v>-7.0000000000000007E-2</v>
      </c>
      <c r="K51">
        <v>0.1</v>
      </c>
      <c r="L51">
        <v>-1.2</v>
      </c>
      <c r="M51">
        <v>7.0000000000000007E-2</v>
      </c>
      <c r="N51">
        <v>-1.1000000000000001</v>
      </c>
      <c r="O51">
        <v>0.03</v>
      </c>
      <c r="P51">
        <v>-0.6</v>
      </c>
      <c r="Q51">
        <v>0.04</v>
      </c>
      <c r="R51">
        <v>-0.7</v>
      </c>
      <c r="T51">
        <f t="shared" si="14"/>
        <v>0.34495760000000003</v>
      </c>
      <c r="U51">
        <f t="shared" si="15"/>
        <v>0.40250000000000008</v>
      </c>
      <c r="V51">
        <f t="shared" si="16"/>
        <v>-5.9760000000000008E-2</v>
      </c>
      <c r="W51">
        <f t="shared" si="17"/>
        <v>2.2176000000000001E-3</v>
      </c>
      <c r="X51">
        <v>1</v>
      </c>
      <c r="Y51">
        <v>1</v>
      </c>
      <c r="Z51">
        <v>1</v>
      </c>
      <c r="AA51">
        <v>0</v>
      </c>
      <c r="AB51">
        <v>0.5</v>
      </c>
      <c r="AC51">
        <v>0.04</v>
      </c>
      <c r="AD51" s="1">
        <v>1.1000000000000001</v>
      </c>
      <c r="AE51" s="1">
        <v>-1.05</v>
      </c>
      <c r="AF51" s="1">
        <v>0.9</v>
      </c>
      <c r="AG51" s="1">
        <v>-0.87</v>
      </c>
      <c r="AH51" s="1">
        <v>0.46</v>
      </c>
      <c r="AI51" s="1">
        <v>-0.45</v>
      </c>
      <c r="AJ51" s="1">
        <v>0.5</v>
      </c>
      <c r="AK51" s="1">
        <v>-0.48</v>
      </c>
    </row>
    <row r="52" spans="1:50" x14ac:dyDescent="0.2">
      <c r="A52">
        <f t="shared" si="10"/>
        <v>0.8565051600000001</v>
      </c>
      <c r="B52">
        <f t="shared" si="11"/>
        <v>0.66500000000000004</v>
      </c>
      <c r="C52">
        <f t="shared" si="12"/>
        <v>0.16310000000000002</v>
      </c>
      <c r="D52">
        <f t="shared" si="13"/>
        <v>9.9960000000000031E-3</v>
      </c>
      <c r="E52">
        <v>1.1000000000000001</v>
      </c>
      <c r="F52">
        <v>1</v>
      </c>
      <c r="G52">
        <v>1</v>
      </c>
      <c r="H52">
        <v>0</v>
      </c>
      <c r="I52">
        <v>-0.5</v>
      </c>
      <c r="J52">
        <v>-7.0000000000000007E-2</v>
      </c>
      <c r="K52">
        <v>0.1</v>
      </c>
      <c r="L52">
        <v>-1.2</v>
      </c>
      <c r="M52">
        <v>7.0000000000000007E-2</v>
      </c>
      <c r="N52">
        <v>-1.1000000000000001</v>
      </c>
      <c r="O52">
        <v>0.03</v>
      </c>
      <c r="P52">
        <v>-0.6</v>
      </c>
      <c r="Q52">
        <v>0.04</v>
      </c>
      <c r="R52">
        <v>-0.7</v>
      </c>
      <c r="T52">
        <f t="shared" si="14"/>
        <v>0.33944729600000006</v>
      </c>
      <c r="U52">
        <f t="shared" si="15"/>
        <v>0.40250000000000008</v>
      </c>
      <c r="V52">
        <f t="shared" si="16"/>
        <v>-5.9760000000000008E-2</v>
      </c>
      <c r="W52">
        <f t="shared" si="17"/>
        <v>2.2176000000000001E-3</v>
      </c>
      <c r="X52">
        <v>1.1000000000000001</v>
      </c>
      <c r="Y52">
        <v>1</v>
      </c>
      <c r="Z52">
        <v>1</v>
      </c>
      <c r="AA52">
        <v>0</v>
      </c>
      <c r="AB52">
        <v>0.5</v>
      </c>
      <c r="AC52">
        <v>0.04</v>
      </c>
      <c r="AD52" s="1">
        <v>1.1000000000000001</v>
      </c>
      <c r="AE52" s="1">
        <v>-1.05</v>
      </c>
      <c r="AF52" s="1">
        <v>0.9</v>
      </c>
      <c r="AG52" s="1">
        <v>-0.87</v>
      </c>
      <c r="AH52" s="1">
        <v>0.46</v>
      </c>
      <c r="AI52" s="1">
        <v>-0.45</v>
      </c>
      <c r="AJ52" s="1">
        <v>0.5</v>
      </c>
      <c r="AK52" s="1">
        <v>-0.48</v>
      </c>
    </row>
    <row r="53" spans="1:50" x14ac:dyDescent="0.2">
      <c r="A53">
        <f t="shared" si="10"/>
        <v>0.87511424000000004</v>
      </c>
      <c r="B53">
        <f t="shared" si="11"/>
        <v>0.66500000000000004</v>
      </c>
      <c r="C53">
        <f t="shared" si="12"/>
        <v>0.16310000000000002</v>
      </c>
      <c r="D53">
        <f t="shared" si="13"/>
        <v>9.9960000000000031E-3</v>
      </c>
      <c r="E53">
        <v>1.2</v>
      </c>
      <c r="F53">
        <v>1</v>
      </c>
      <c r="G53">
        <v>1</v>
      </c>
      <c r="H53">
        <v>0</v>
      </c>
      <c r="I53">
        <v>-0.5</v>
      </c>
      <c r="J53">
        <v>-7.0000000000000007E-2</v>
      </c>
      <c r="K53">
        <v>0.1</v>
      </c>
      <c r="L53">
        <v>-1.2</v>
      </c>
      <c r="M53">
        <v>7.0000000000000007E-2</v>
      </c>
      <c r="N53">
        <v>-1.1000000000000001</v>
      </c>
      <c r="O53">
        <v>0.03</v>
      </c>
      <c r="P53">
        <v>-0.6</v>
      </c>
      <c r="Q53">
        <v>0.04</v>
      </c>
      <c r="R53">
        <v>-0.7</v>
      </c>
      <c r="T53">
        <f t="shared" si="14"/>
        <v>0.33398134400000007</v>
      </c>
      <c r="U53">
        <f t="shared" si="15"/>
        <v>0.40250000000000008</v>
      </c>
      <c r="V53">
        <f t="shared" si="16"/>
        <v>-5.9760000000000008E-2</v>
      </c>
      <c r="W53">
        <f t="shared" si="17"/>
        <v>2.2176000000000001E-3</v>
      </c>
      <c r="X53">
        <v>1.2</v>
      </c>
      <c r="Y53">
        <v>1</v>
      </c>
      <c r="Z53">
        <v>1</v>
      </c>
      <c r="AA53">
        <v>0</v>
      </c>
      <c r="AB53">
        <v>0.5</v>
      </c>
      <c r="AC53">
        <v>0.04</v>
      </c>
      <c r="AD53" s="1">
        <v>1.1000000000000001</v>
      </c>
      <c r="AE53" s="1">
        <v>-1.05</v>
      </c>
      <c r="AF53" s="1">
        <v>0.9</v>
      </c>
      <c r="AG53" s="1">
        <v>-0.87</v>
      </c>
      <c r="AH53" s="1">
        <v>0.46</v>
      </c>
      <c r="AI53" s="1">
        <v>-0.45</v>
      </c>
      <c r="AJ53" s="1">
        <v>0.5</v>
      </c>
      <c r="AK53" s="1">
        <v>-0.48</v>
      </c>
    </row>
    <row r="55" spans="1:50" x14ac:dyDescent="0.2">
      <c r="A55" t="s">
        <v>83</v>
      </c>
    </row>
    <row r="56" spans="1:50" x14ac:dyDescent="0.2">
      <c r="A56" t="s">
        <v>67</v>
      </c>
      <c r="B56" t="s">
        <v>81</v>
      </c>
      <c r="C56" t="s">
        <v>80</v>
      </c>
      <c r="D56" t="s">
        <v>79</v>
      </c>
      <c r="E56" t="s">
        <v>73</v>
      </c>
      <c r="F56" t="s">
        <v>63</v>
      </c>
      <c r="G56" t="s">
        <v>72</v>
      </c>
      <c r="H56" t="s">
        <v>71</v>
      </c>
      <c r="I56" t="s">
        <v>78</v>
      </c>
      <c r="J56" t="s">
        <v>77</v>
      </c>
      <c r="K56" t="s">
        <v>6</v>
      </c>
      <c r="L56" t="s">
        <v>10</v>
      </c>
      <c r="M56" t="s">
        <v>7</v>
      </c>
      <c r="N56" t="s">
        <v>11</v>
      </c>
      <c r="O56" t="s">
        <v>8</v>
      </c>
      <c r="P56" t="s">
        <v>12</v>
      </c>
      <c r="Q56" t="s">
        <v>9</v>
      </c>
      <c r="R56" t="s">
        <v>13</v>
      </c>
      <c r="T56" t="s">
        <v>67</v>
      </c>
      <c r="U56" t="s">
        <v>76</v>
      </c>
      <c r="V56" t="s">
        <v>75</v>
      </c>
      <c r="W56" t="s">
        <v>74</v>
      </c>
      <c r="X56" t="s">
        <v>73</v>
      </c>
      <c r="Y56" t="s">
        <v>63</v>
      </c>
      <c r="Z56" t="s">
        <v>72</v>
      </c>
      <c r="AA56" t="s">
        <v>71</v>
      </c>
      <c r="AB56" t="s">
        <v>70</v>
      </c>
      <c r="AC56" t="s">
        <v>69</v>
      </c>
      <c r="AD56" t="s">
        <v>16</v>
      </c>
      <c r="AE56" t="s">
        <v>20</v>
      </c>
      <c r="AF56" t="s">
        <v>17</v>
      </c>
      <c r="AG56" t="s">
        <v>21</v>
      </c>
      <c r="AH56" t="s">
        <v>18</v>
      </c>
      <c r="AI56" t="s">
        <v>22</v>
      </c>
      <c r="AJ56" t="s">
        <v>19</v>
      </c>
      <c r="AK56" t="s">
        <v>23</v>
      </c>
    </row>
    <row r="57" spans="1:50" x14ac:dyDescent="0.2">
      <c r="A57">
        <f t="shared" ref="A57:A77" si="20">B57+C57*E57+D57*E57^2</f>
        <v>0.29140625640000001</v>
      </c>
      <c r="B57">
        <f t="shared" ref="B57:B77" si="21">(K57+L57*I57)*((M57+N57*I57)*F57+(O57+P57*I57)*G57+(Q57+R57*I57)*H57)</f>
        <v>0.27299999999999996</v>
      </c>
      <c r="C57">
        <f t="shared" ref="C57:C77" si="22">(K57+L57*I57)*(N57*J57*F57+P57*J57*G57+R57*J57*H57)+((M57+N57*I57)*F57+(O57+P57*I57)*G57+(Q57+R57*I57)*H57)*L57*J57</f>
        <v>6.7059999999999995E-2</v>
      </c>
      <c r="D57">
        <f t="shared" ref="D57:D77" si="23">L57*J57*(N57*J57*F57+P57*J57*G57+R57*J57*H57)</f>
        <v>4.1160000000000007E-3</v>
      </c>
      <c r="E57">
        <v>0.27</v>
      </c>
      <c r="F57">
        <v>0</v>
      </c>
      <c r="G57">
        <v>1</v>
      </c>
      <c r="H57">
        <v>0</v>
      </c>
      <c r="I57">
        <v>-0.5</v>
      </c>
      <c r="J57">
        <v>-7.0000000000000007E-2</v>
      </c>
      <c r="K57">
        <v>0.1</v>
      </c>
      <c r="L57">
        <v>-1.2</v>
      </c>
      <c r="M57">
        <v>7.0000000000000007E-2</v>
      </c>
      <c r="N57">
        <v>-1.1000000000000001</v>
      </c>
      <c r="O57">
        <v>0.04</v>
      </c>
      <c r="P57">
        <v>-0.7</v>
      </c>
      <c r="Q57">
        <v>0.04</v>
      </c>
      <c r="R57">
        <v>-0.7</v>
      </c>
      <c r="T57">
        <f t="shared" ref="T57:T77" si="24">U57+V57*X57+W57*X57^2</f>
        <v>0.14411832000000002</v>
      </c>
      <c r="U57">
        <f t="shared" ref="U57:U77" si="25">(AD57+AE57*AB57)*((AF57+AG57*AB57)*Y57+(AH57+AI57*AB57)*Z57+(AJ57+AK57*AB57)*AA57)</f>
        <v>0.15000000000000002</v>
      </c>
      <c r="V57">
        <f t="shared" ref="V57:V77" si="26">(AD57+AE57*AB57)*(AG57*AC57*Y57+AI57*AC57*Z57+AK57*AC57*AA57)+((AF57+AG57*AB57)*Y57+(AH57+AI57*AB57)*Z57+(AJ57+AK57*AB57)*AA57)*AE57*AC57</f>
        <v>-2.2000000000000002E-2</v>
      </c>
      <c r="W57">
        <f t="shared" ref="W57:W77" si="27">AE57*AC57*(AG57*AC57*Y57+AI57*AC57*Z57+AK57*AC57*AA57)</f>
        <v>8.0000000000000004E-4</v>
      </c>
      <c r="X57">
        <v>0.27</v>
      </c>
      <c r="Y57">
        <v>0</v>
      </c>
      <c r="Z57">
        <v>1</v>
      </c>
      <c r="AA57">
        <v>0</v>
      </c>
      <c r="AB57">
        <v>0.5</v>
      </c>
      <c r="AC57">
        <v>0.04</v>
      </c>
      <c r="AD57" s="1">
        <v>1.1000000000000001</v>
      </c>
      <c r="AE57" s="1">
        <v>-1</v>
      </c>
      <c r="AF57" s="1">
        <v>0.9</v>
      </c>
      <c r="AG57" s="1">
        <v>-0.8</v>
      </c>
      <c r="AH57" s="1">
        <v>0.5</v>
      </c>
      <c r="AI57" s="1">
        <v>-0.5</v>
      </c>
      <c r="AJ57" s="1">
        <v>0.5</v>
      </c>
      <c r="AK57" s="1">
        <v>-0.5</v>
      </c>
    </row>
    <row r="58" spans="1:50" x14ac:dyDescent="0.2">
      <c r="A58">
        <f t="shared" si="20"/>
        <v>0.31456056225999995</v>
      </c>
      <c r="B58">
        <f t="shared" si="21"/>
        <v>0.29469999999999996</v>
      </c>
      <c r="C58">
        <f t="shared" si="22"/>
        <v>7.2359000000000007E-2</v>
      </c>
      <c r="D58">
        <f t="shared" si="23"/>
        <v>4.4394000000000005E-3</v>
      </c>
      <c r="E58">
        <v>0.27</v>
      </c>
      <c r="F58">
        <v>0.05</v>
      </c>
      <c r="G58">
        <v>1</v>
      </c>
      <c r="H58">
        <v>0</v>
      </c>
      <c r="I58">
        <v>-0.5</v>
      </c>
      <c r="J58">
        <v>-7.0000000000000007E-2</v>
      </c>
      <c r="K58">
        <v>0.1</v>
      </c>
      <c r="L58">
        <v>-1.2</v>
      </c>
      <c r="M58">
        <v>7.0000000000000007E-2</v>
      </c>
      <c r="N58">
        <v>-1.1000000000000001</v>
      </c>
      <c r="O58">
        <v>0.04</v>
      </c>
      <c r="P58">
        <v>-0.7</v>
      </c>
      <c r="Q58">
        <v>0.04</v>
      </c>
      <c r="R58">
        <v>-0.7</v>
      </c>
      <c r="T58">
        <f t="shared" si="24"/>
        <v>0.15859378560000004</v>
      </c>
      <c r="U58">
        <f t="shared" si="25"/>
        <v>0.16500000000000004</v>
      </c>
      <c r="V58">
        <f t="shared" si="26"/>
        <v>-2.3960000000000002E-2</v>
      </c>
      <c r="W58">
        <f t="shared" si="27"/>
        <v>8.6400000000000008E-4</v>
      </c>
      <c r="X58">
        <v>0.27</v>
      </c>
      <c r="Y58">
        <v>0.05</v>
      </c>
      <c r="Z58">
        <v>1</v>
      </c>
      <c r="AA58">
        <v>0</v>
      </c>
      <c r="AB58">
        <v>0.5</v>
      </c>
      <c r="AC58">
        <v>0.04</v>
      </c>
      <c r="AD58" s="1">
        <v>1.1000000000000001</v>
      </c>
      <c r="AE58" s="1">
        <v>-1</v>
      </c>
      <c r="AF58" s="1">
        <v>0.9</v>
      </c>
      <c r="AG58" s="1">
        <v>-0.8</v>
      </c>
      <c r="AH58" s="1">
        <v>0.5</v>
      </c>
      <c r="AI58" s="1">
        <v>-0.5</v>
      </c>
      <c r="AJ58" s="1">
        <v>0.5</v>
      </c>
      <c r="AK58" s="1">
        <v>-0.5</v>
      </c>
    </row>
    <row r="59" spans="1:50" x14ac:dyDescent="0.2">
      <c r="A59">
        <f t="shared" si="20"/>
        <v>0.33771486811999996</v>
      </c>
      <c r="B59">
        <f t="shared" si="21"/>
        <v>0.31639999999999996</v>
      </c>
      <c r="C59">
        <f t="shared" si="22"/>
        <v>7.7657999999999991E-2</v>
      </c>
      <c r="D59">
        <f t="shared" si="23"/>
        <v>4.7628000000000002E-3</v>
      </c>
      <c r="E59">
        <v>0.27</v>
      </c>
      <c r="F59">
        <v>0.1</v>
      </c>
      <c r="G59">
        <v>1</v>
      </c>
      <c r="H59">
        <v>0</v>
      </c>
      <c r="I59">
        <v>-0.5</v>
      </c>
      <c r="J59">
        <v>-7.0000000000000007E-2</v>
      </c>
      <c r="K59">
        <v>0.1</v>
      </c>
      <c r="L59">
        <v>-1.2</v>
      </c>
      <c r="M59">
        <v>7.0000000000000007E-2</v>
      </c>
      <c r="N59">
        <v>-1.1000000000000001</v>
      </c>
      <c r="O59">
        <v>0.04</v>
      </c>
      <c r="P59">
        <v>-0.7</v>
      </c>
      <c r="Q59">
        <v>0.04</v>
      </c>
      <c r="R59">
        <v>-0.7</v>
      </c>
      <c r="T59">
        <f t="shared" si="24"/>
        <v>0.17306925120000002</v>
      </c>
      <c r="U59">
        <f t="shared" si="25"/>
        <v>0.18000000000000002</v>
      </c>
      <c r="V59">
        <f t="shared" si="26"/>
        <v>-2.5920000000000006E-2</v>
      </c>
      <c r="W59">
        <f t="shared" si="27"/>
        <v>9.2800000000000011E-4</v>
      </c>
      <c r="X59">
        <v>0.27</v>
      </c>
      <c r="Y59">
        <v>0.1</v>
      </c>
      <c r="Z59">
        <v>1</v>
      </c>
      <c r="AA59">
        <v>0</v>
      </c>
      <c r="AB59">
        <v>0.5</v>
      </c>
      <c r="AC59">
        <v>0.04</v>
      </c>
      <c r="AD59" s="1">
        <v>1.1000000000000001</v>
      </c>
      <c r="AE59" s="1">
        <v>-1</v>
      </c>
      <c r="AF59" s="1">
        <v>0.9</v>
      </c>
      <c r="AG59" s="1">
        <v>-0.8</v>
      </c>
      <c r="AH59" s="1">
        <v>0.5</v>
      </c>
      <c r="AI59" s="1">
        <v>-0.5</v>
      </c>
      <c r="AJ59" s="1">
        <v>0.5</v>
      </c>
      <c r="AK59" s="1">
        <v>-0.5</v>
      </c>
    </row>
    <row r="60" spans="1:50" x14ac:dyDescent="0.2">
      <c r="A60">
        <f t="shared" si="20"/>
        <v>0.36086917397999996</v>
      </c>
      <c r="B60">
        <f t="shared" si="21"/>
        <v>0.33809999999999996</v>
      </c>
      <c r="C60">
        <f t="shared" si="22"/>
        <v>8.2957000000000003E-2</v>
      </c>
      <c r="D60">
        <f t="shared" si="23"/>
        <v>5.0862000000000008E-3</v>
      </c>
      <c r="E60">
        <v>0.27</v>
      </c>
      <c r="F60">
        <v>0.15</v>
      </c>
      <c r="G60">
        <v>1</v>
      </c>
      <c r="H60">
        <v>0</v>
      </c>
      <c r="I60">
        <v>-0.5</v>
      </c>
      <c r="J60">
        <v>-7.0000000000000007E-2</v>
      </c>
      <c r="K60">
        <v>0.1</v>
      </c>
      <c r="L60">
        <v>-1.2</v>
      </c>
      <c r="M60">
        <v>7.0000000000000007E-2</v>
      </c>
      <c r="N60">
        <v>-1.1000000000000001</v>
      </c>
      <c r="O60">
        <v>0.04</v>
      </c>
      <c r="P60">
        <v>-0.7</v>
      </c>
      <c r="Q60">
        <v>0.04</v>
      </c>
      <c r="R60">
        <v>-0.7</v>
      </c>
      <c r="T60">
        <f t="shared" si="24"/>
        <v>0.18754471680000004</v>
      </c>
      <c r="U60">
        <f t="shared" si="25"/>
        <v>0.19500000000000003</v>
      </c>
      <c r="V60">
        <f t="shared" si="26"/>
        <v>-2.7880000000000002E-2</v>
      </c>
      <c r="W60">
        <f t="shared" si="27"/>
        <v>9.9200000000000004E-4</v>
      </c>
      <c r="X60">
        <v>0.27</v>
      </c>
      <c r="Y60">
        <v>0.15</v>
      </c>
      <c r="Z60">
        <v>1</v>
      </c>
      <c r="AA60">
        <v>0</v>
      </c>
      <c r="AB60">
        <v>0.5</v>
      </c>
      <c r="AC60">
        <v>0.04</v>
      </c>
      <c r="AD60" s="1">
        <v>1.1000000000000001</v>
      </c>
      <c r="AE60" s="1">
        <v>-1</v>
      </c>
      <c r="AF60" s="1">
        <v>0.9</v>
      </c>
      <c r="AG60" s="1">
        <v>-0.8</v>
      </c>
      <c r="AH60" s="1">
        <v>0.5</v>
      </c>
      <c r="AI60" s="1">
        <v>-0.5</v>
      </c>
      <c r="AJ60" s="1">
        <v>0.5</v>
      </c>
      <c r="AK60" s="1">
        <v>-0.5</v>
      </c>
    </row>
    <row r="61" spans="1:50" x14ac:dyDescent="0.2">
      <c r="A61">
        <f t="shared" si="20"/>
        <v>0.38402347984000001</v>
      </c>
      <c r="B61">
        <f t="shared" si="21"/>
        <v>0.35980000000000001</v>
      </c>
      <c r="C61">
        <f t="shared" si="22"/>
        <v>8.8256000000000015E-2</v>
      </c>
      <c r="D61">
        <f t="shared" si="23"/>
        <v>5.4096000000000014E-3</v>
      </c>
      <c r="E61">
        <v>0.27</v>
      </c>
      <c r="F61">
        <v>0.2</v>
      </c>
      <c r="G61">
        <v>1</v>
      </c>
      <c r="H61">
        <v>0</v>
      </c>
      <c r="I61">
        <v>-0.5</v>
      </c>
      <c r="J61">
        <v>-7.0000000000000007E-2</v>
      </c>
      <c r="K61">
        <v>0.1</v>
      </c>
      <c r="L61">
        <v>-1.2</v>
      </c>
      <c r="M61">
        <v>7.0000000000000007E-2</v>
      </c>
      <c r="N61">
        <v>-1.1000000000000001</v>
      </c>
      <c r="O61">
        <v>0.04</v>
      </c>
      <c r="P61">
        <v>-0.7</v>
      </c>
      <c r="Q61">
        <v>0.04</v>
      </c>
      <c r="R61">
        <v>-0.7</v>
      </c>
      <c r="T61">
        <f t="shared" si="24"/>
        <v>0.20202018240000003</v>
      </c>
      <c r="U61">
        <f t="shared" si="25"/>
        <v>0.21000000000000002</v>
      </c>
      <c r="V61">
        <f t="shared" si="26"/>
        <v>-2.9840000000000002E-2</v>
      </c>
      <c r="W61">
        <f t="shared" si="27"/>
        <v>1.0560000000000001E-3</v>
      </c>
      <c r="X61">
        <v>0.27</v>
      </c>
      <c r="Y61">
        <v>0.2</v>
      </c>
      <c r="Z61">
        <v>1</v>
      </c>
      <c r="AA61">
        <v>0</v>
      </c>
      <c r="AB61">
        <v>0.5</v>
      </c>
      <c r="AC61">
        <v>0.04</v>
      </c>
      <c r="AD61" s="1">
        <v>1.1000000000000001</v>
      </c>
      <c r="AE61" s="1">
        <v>-1</v>
      </c>
      <c r="AF61" s="1">
        <v>0.9</v>
      </c>
      <c r="AG61" s="1">
        <v>-0.8</v>
      </c>
      <c r="AH61" s="1">
        <v>0.5</v>
      </c>
      <c r="AI61" s="1">
        <v>-0.5</v>
      </c>
      <c r="AJ61" s="1">
        <v>0.5</v>
      </c>
      <c r="AK61" s="1">
        <v>-0.5</v>
      </c>
    </row>
    <row r="62" spans="1:50" x14ac:dyDescent="0.2">
      <c r="A62">
        <f t="shared" si="20"/>
        <v>0.40717778569999991</v>
      </c>
      <c r="B62">
        <f t="shared" si="21"/>
        <v>0.38149999999999995</v>
      </c>
      <c r="C62">
        <f t="shared" si="22"/>
        <v>9.3554999999999999E-2</v>
      </c>
      <c r="D62">
        <f t="shared" si="23"/>
        <v>5.7330000000000011E-3</v>
      </c>
      <c r="E62">
        <v>0.27</v>
      </c>
      <c r="F62">
        <v>0.25</v>
      </c>
      <c r="G62">
        <v>1</v>
      </c>
      <c r="H62">
        <v>0</v>
      </c>
      <c r="I62">
        <v>-0.5</v>
      </c>
      <c r="J62">
        <v>-7.0000000000000007E-2</v>
      </c>
      <c r="K62">
        <v>0.1</v>
      </c>
      <c r="L62">
        <v>-1.2</v>
      </c>
      <c r="M62">
        <v>7.0000000000000007E-2</v>
      </c>
      <c r="N62">
        <v>-1.1000000000000001</v>
      </c>
      <c r="O62">
        <v>0.04</v>
      </c>
      <c r="P62">
        <v>-0.7</v>
      </c>
      <c r="Q62">
        <v>0.04</v>
      </c>
      <c r="R62">
        <v>-0.7</v>
      </c>
      <c r="T62">
        <f t="shared" si="24"/>
        <v>0.21649564800000001</v>
      </c>
      <c r="U62">
        <f t="shared" si="25"/>
        <v>0.22500000000000003</v>
      </c>
      <c r="V62">
        <f t="shared" si="26"/>
        <v>-3.1800000000000002E-2</v>
      </c>
      <c r="W62">
        <f t="shared" si="27"/>
        <v>1.1200000000000001E-3</v>
      </c>
      <c r="X62">
        <v>0.27</v>
      </c>
      <c r="Y62">
        <v>0.25</v>
      </c>
      <c r="Z62">
        <v>1</v>
      </c>
      <c r="AA62">
        <v>0</v>
      </c>
      <c r="AB62">
        <v>0.5</v>
      </c>
      <c r="AC62">
        <v>0.04</v>
      </c>
      <c r="AD62" s="1">
        <v>1.1000000000000001</v>
      </c>
      <c r="AE62" s="1">
        <v>-1</v>
      </c>
      <c r="AF62" s="1">
        <v>0.9</v>
      </c>
      <c r="AG62" s="1">
        <v>-0.8</v>
      </c>
      <c r="AH62" s="1">
        <v>0.5</v>
      </c>
      <c r="AI62" s="1">
        <v>-0.5</v>
      </c>
      <c r="AJ62" s="1">
        <v>0.5</v>
      </c>
      <c r="AK62" s="1">
        <v>-0.5</v>
      </c>
    </row>
    <row r="63" spans="1:50" x14ac:dyDescent="0.2">
      <c r="A63">
        <f t="shared" si="20"/>
        <v>0.43033209155999996</v>
      </c>
      <c r="B63">
        <f t="shared" si="21"/>
        <v>0.40319999999999995</v>
      </c>
      <c r="C63">
        <f t="shared" si="22"/>
        <v>9.8853999999999997E-2</v>
      </c>
      <c r="D63">
        <f t="shared" si="23"/>
        <v>6.0564E-3</v>
      </c>
      <c r="E63">
        <v>0.27</v>
      </c>
      <c r="F63">
        <v>0.3</v>
      </c>
      <c r="G63">
        <v>1</v>
      </c>
      <c r="H63">
        <v>0</v>
      </c>
      <c r="I63">
        <v>-0.5</v>
      </c>
      <c r="J63">
        <v>-7.0000000000000007E-2</v>
      </c>
      <c r="K63">
        <v>0.1</v>
      </c>
      <c r="L63">
        <v>-1.2</v>
      </c>
      <c r="M63">
        <v>7.0000000000000007E-2</v>
      </c>
      <c r="N63">
        <v>-1.1000000000000001</v>
      </c>
      <c r="O63">
        <v>0.04</v>
      </c>
      <c r="P63">
        <v>-0.7</v>
      </c>
      <c r="Q63">
        <v>0.04</v>
      </c>
      <c r="R63">
        <v>-0.7</v>
      </c>
      <c r="T63">
        <f t="shared" si="24"/>
        <v>0.23097111360000006</v>
      </c>
      <c r="U63">
        <f t="shared" si="25"/>
        <v>0.24000000000000005</v>
      </c>
      <c r="V63">
        <f t="shared" si="26"/>
        <v>-3.3760000000000005E-2</v>
      </c>
      <c r="W63">
        <f t="shared" si="27"/>
        <v>1.1840000000000002E-3</v>
      </c>
      <c r="X63">
        <v>0.27</v>
      </c>
      <c r="Y63">
        <v>0.3</v>
      </c>
      <c r="Z63">
        <v>1</v>
      </c>
      <c r="AA63">
        <v>0</v>
      </c>
      <c r="AB63">
        <v>0.5</v>
      </c>
      <c r="AC63">
        <v>0.04</v>
      </c>
      <c r="AD63" s="1">
        <v>1.1000000000000001</v>
      </c>
      <c r="AE63" s="1">
        <v>-1</v>
      </c>
      <c r="AF63" s="1">
        <v>0.9</v>
      </c>
      <c r="AG63" s="1">
        <v>-0.8</v>
      </c>
      <c r="AH63" s="1">
        <v>0.5</v>
      </c>
      <c r="AI63" s="1">
        <v>-0.5</v>
      </c>
      <c r="AJ63" s="1">
        <v>0.5</v>
      </c>
      <c r="AK63" s="1">
        <v>-0.5</v>
      </c>
    </row>
    <row r="64" spans="1:50" x14ac:dyDescent="0.2">
      <c r="A64">
        <f t="shared" si="20"/>
        <v>0.45348639741999996</v>
      </c>
      <c r="B64">
        <f t="shared" si="21"/>
        <v>0.42489999999999994</v>
      </c>
      <c r="C64">
        <f t="shared" si="22"/>
        <v>0.104153</v>
      </c>
      <c r="D64">
        <f t="shared" si="23"/>
        <v>6.3798000000000006E-3</v>
      </c>
      <c r="E64">
        <v>0.27</v>
      </c>
      <c r="F64">
        <v>0.35</v>
      </c>
      <c r="G64">
        <v>1</v>
      </c>
      <c r="H64">
        <v>0</v>
      </c>
      <c r="I64">
        <v>-0.5</v>
      </c>
      <c r="J64">
        <v>-7.0000000000000007E-2</v>
      </c>
      <c r="K64">
        <v>0.1</v>
      </c>
      <c r="L64">
        <v>-1.2</v>
      </c>
      <c r="M64">
        <v>7.0000000000000007E-2</v>
      </c>
      <c r="N64">
        <v>-1.1000000000000001</v>
      </c>
      <c r="O64">
        <v>0.04</v>
      </c>
      <c r="P64">
        <v>-0.7</v>
      </c>
      <c r="Q64">
        <v>0.04</v>
      </c>
      <c r="R64">
        <v>-0.7</v>
      </c>
      <c r="T64">
        <f t="shared" si="24"/>
        <v>0.24544657920000001</v>
      </c>
      <c r="U64">
        <f t="shared" si="25"/>
        <v>0.255</v>
      </c>
      <c r="V64">
        <f t="shared" si="26"/>
        <v>-3.5720000000000002E-2</v>
      </c>
      <c r="W64">
        <f t="shared" si="27"/>
        <v>1.248E-3</v>
      </c>
      <c r="X64">
        <v>0.27</v>
      </c>
      <c r="Y64">
        <v>0.35</v>
      </c>
      <c r="Z64">
        <v>1</v>
      </c>
      <c r="AA64">
        <v>0</v>
      </c>
      <c r="AB64">
        <v>0.5</v>
      </c>
      <c r="AC64">
        <v>0.04</v>
      </c>
      <c r="AD64" s="1">
        <v>1.1000000000000001</v>
      </c>
      <c r="AE64" s="1">
        <v>-1</v>
      </c>
      <c r="AF64" s="1">
        <v>0.9</v>
      </c>
      <c r="AG64" s="1">
        <v>-0.8</v>
      </c>
      <c r="AH64" s="1">
        <v>0.5</v>
      </c>
      <c r="AI64" s="1">
        <v>-0.5</v>
      </c>
      <c r="AJ64" s="1">
        <v>0.5</v>
      </c>
      <c r="AK64" s="1">
        <v>-0.5</v>
      </c>
    </row>
    <row r="65" spans="1:37" x14ac:dyDescent="0.2">
      <c r="A65">
        <f t="shared" si="20"/>
        <v>0.47664070328000002</v>
      </c>
      <c r="B65">
        <f t="shared" si="21"/>
        <v>0.4466</v>
      </c>
      <c r="C65">
        <f t="shared" si="22"/>
        <v>0.10945199999999999</v>
      </c>
      <c r="D65">
        <f t="shared" si="23"/>
        <v>6.7032000000000012E-3</v>
      </c>
      <c r="E65">
        <v>0.27</v>
      </c>
      <c r="F65">
        <v>0.4</v>
      </c>
      <c r="G65">
        <v>1</v>
      </c>
      <c r="H65">
        <v>0</v>
      </c>
      <c r="I65">
        <v>-0.5</v>
      </c>
      <c r="J65">
        <v>-7.0000000000000007E-2</v>
      </c>
      <c r="K65">
        <v>0.1</v>
      </c>
      <c r="L65">
        <v>-1.2</v>
      </c>
      <c r="M65">
        <v>7.0000000000000007E-2</v>
      </c>
      <c r="N65">
        <v>-1.1000000000000001</v>
      </c>
      <c r="O65">
        <v>0.04</v>
      </c>
      <c r="P65">
        <v>-0.7</v>
      </c>
      <c r="Q65">
        <v>0.04</v>
      </c>
      <c r="R65">
        <v>-0.7</v>
      </c>
      <c r="T65">
        <f t="shared" si="24"/>
        <v>0.25992204480000008</v>
      </c>
      <c r="U65">
        <f t="shared" si="25"/>
        <v>0.27000000000000007</v>
      </c>
      <c r="V65">
        <f t="shared" si="26"/>
        <v>-3.7680000000000005E-2</v>
      </c>
      <c r="W65">
        <f t="shared" si="27"/>
        <v>1.3120000000000002E-3</v>
      </c>
      <c r="X65">
        <v>0.27</v>
      </c>
      <c r="Y65">
        <v>0.4</v>
      </c>
      <c r="Z65">
        <v>1</v>
      </c>
      <c r="AA65">
        <v>0</v>
      </c>
      <c r="AB65">
        <v>0.5</v>
      </c>
      <c r="AC65">
        <v>0.04</v>
      </c>
      <c r="AD65" s="1">
        <v>1.1000000000000001</v>
      </c>
      <c r="AE65" s="1">
        <v>-1</v>
      </c>
      <c r="AF65" s="1">
        <v>0.9</v>
      </c>
      <c r="AG65" s="1">
        <v>-0.8</v>
      </c>
      <c r="AH65" s="1">
        <v>0.5</v>
      </c>
      <c r="AI65" s="1">
        <v>-0.5</v>
      </c>
      <c r="AJ65" s="1">
        <v>0.5</v>
      </c>
      <c r="AK65" s="1">
        <v>-0.5</v>
      </c>
    </row>
    <row r="66" spans="1:37" x14ac:dyDescent="0.2">
      <c r="A66">
        <f t="shared" si="20"/>
        <v>0.49979500913999997</v>
      </c>
      <c r="B66">
        <f t="shared" si="21"/>
        <v>0.46829999999999999</v>
      </c>
      <c r="C66">
        <f t="shared" si="22"/>
        <v>0.11475100000000001</v>
      </c>
      <c r="D66">
        <f t="shared" si="23"/>
        <v>7.0266000000000009E-3</v>
      </c>
      <c r="E66">
        <v>0.27</v>
      </c>
      <c r="F66">
        <v>0.45</v>
      </c>
      <c r="G66">
        <v>1</v>
      </c>
      <c r="H66">
        <v>0</v>
      </c>
      <c r="I66">
        <v>-0.5</v>
      </c>
      <c r="J66">
        <v>-7.0000000000000007E-2</v>
      </c>
      <c r="K66">
        <v>0.1</v>
      </c>
      <c r="L66">
        <v>-1.2</v>
      </c>
      <c r="M66">
        <v>7.0000000000000007E-2</v>
      </c>
      <c r="N66">
        <v>-1.1000000000000001</v>
      </c>
      <c r="O66">
        <v>0.04</v>
      </c>
      <c r="P66">
        <v>-0.7</v>
      </c>
      <c r="Q66">
        <v>0.04</v>
      </c>
      <c r="R66">
        <v>-0.7</v>
      </c>
      <c r="T66">
        <f t="shared" si="24"/>
        <v>0.27439751040000004</v>
      </c>
      <c r="U66">
        <f t="shared" si="25"/>
        <v>0.28500000000000003</v>
      </c>
      <c r="V66">
        <f t="shared" si="26"/>
        <v>-3.9640000000000002E-2</v>
      </c>
      <c r="W66">
        <f t="shared" si="27"/>
        <v>1.3760000000000001E-3</v>
      </c>
      <c r="X66">
        <v>0.27</v>
      </c>
      <c r="Y66">
        <v>0.45</v>
      </c>
      <c r="Z66">
        <v>1</v>
      </c>
      <c r="AA66">
        <v>0</v>
      </c>
      <c r="AB66">
        <v>0.5</v>
      </c>
      <c r="AC66">
        <v>0.04</v>
      </c>
      <c r="AD66" s="1">
        <v>1.1000000000000001</v>
      </c>
      <c r="AE66" s="1">
        <v>-1</v>
      </c>
      <c r="AF66" s="1">
        <v>0.9</v>
      </c>
      <c r="AG66" s="1">
        <v>-0.8</v>
      </c>
      <c r="AH66" s="1">
        <v>0.5</v>
      </c>
      <c r="AI66" s="1">
        <v>-0.5</v>
      </c>
      <c r="AJ66" s="1">
        <v>0.5</v>
      </c>
      <c r="AK66" s="1">
        <v>-0.5</v>
      </c>
    </row>
    <row r="67" spans="1:37" x14ac:dyDescent="0.2">
      <c r="A67">
        <f t="shared" si="20"/>
        <v>0.52294931499999997</v>
      </c>
      <c r="B67">
        <f t="shared" si="21"/>
        <v>0.48999999999999994</v>
      </c>
      <c r="C67">
        <f t="shared" si="22"/>
        <v>0.12005</v>
      </c>
      <c r="D67">
        <f t="shared" si="23"/>
        <v>7.3500000000000015E-3</v>
      </c>
      <c r="E67">
        <v>0.27</v>
      </c>
      <c r="F67">
        <v>0.5</v>
      </c>
      <c r="G67">
        <v>1</v>
      </c>
      <c r="H67">
        <v>0</v>
      </c>
      <c r="I67">
        <v>-0.5</v>
      </c>
      <c r="J67">
        <v>-7.0000000000000007E-2</v>
      </c>
      <c r="K67">
        <v>0.1</v>
      </c>
      <c r="L67">
        <v>-1.2</v>
      </c>
      <c r="M67">
        <v>7.0000000000000007E-2</v>
      </c>
      <c r="N67">
        <v>-1.1000000000000001</v>
      </c>
      <c r="O67">
        <v>0.04</v>
      </c>
      <c r="P67">
        <v>-0.7</v>
      </c>
      <c r="Q67">
        <v>0.04</v>
      </c>
      <c r="R67">
        <v>-0.7</v>
      </c>
      <c r="T67">
        <f t="shared" si="24"/>
        <v>0.288872976</v>
      </c>
      <c r="U67">
        <f t="shared" si="25"/>
        <v>0.30000000000000004</v>
      </c>
      <c r="V67">
        <f t="shared" si="26"/>
        <v>-4.1600000000000005E-2</v>
      </c>
      <c r="W67">
        <f t="shared" si="27"/>
        <v>1.4400000000000001E-3</v>
      </c>
      <c r="X67">
        <v>0.27</v>
      </c>
      <c r="Y67">
        <v>0.5</v>
      </c>
      <c r="Z67">
        <v>1</v>
      </c>
      <c r="AA67">
        <v>0</v>
      </c>
      <c r="AB67">
        <v>0.5</v>
      </c>
      <c r="AC67">
        <v>0.04</v>
      </c>
      <c r="AD67" s="1">
        <v>1.1000000000000001</v>
      </c>
      <c r="AE67" s="1">
        <v>-1</v>
      </c>
      <c r="AF67" s="1">
        <v>0.9</v>
      </c>
      <c r="AG67" s="1">
        <v>-0.8</v>
      </c>
      <c r="AH67" s="1">
        <v>0.5</v>
      </c>
      <c r="AI67" s="1">
        <v>-0.5</v>
      </c>
      <c r="AJ67" s="1">
        <v>0.5</v>
      </c>
      <c r="AK67" s="1">
        <v>-0.5</v>
      </c>
    </row>
    <row r="68" spans="1:37" x14ac:dyDescent="0.2">
      <c r="A68">
        <f t="shared" si="20"/>
        <v>0.54610362086000008</v>
      </c>
      <c r="B68">
        <f t="shared" si="21"/>
        <v>0.51170000000000004</v>
      </c>
      <c r="C68">
        <f t="shared" si="22"/>
        <v>0.12534900000000002</v>
      </c>
      <c r="D68">
        <f t="shared" si="23"/>
        <v>7.6734000000000021E-3</v>
      </c>
      <c r="E68">
        <v>0.27</v>
      </c>
      <c r="F68">
        <v>0.55000000000000004</v>
      </c>
      <c r="G68">
        <v>1</v>
      </c>
      <c r="H68">
        <v>0</v>
      </c>
      <c r="I68">
        <v>-0.5</v>
      </c>
      <c r="J68">
        <v>-7.0000000000000007E-2</v>
      </c>
      <c r="K68">
        <v>0.1</v>
      </c>
      <c r="L68">
        <v>-1.2</v>
      </c>
      <c r="M68">
        <v>7.0000000000000007E-2</v>
      </c>
      <c r="N68">
        <v>-1.1000000000000001</v>
      </c>
      <c r="O68">
        <v>0.04</v>
      </c>
      <c r="P68">
        <v>-0.7</v>
      </c>
      <c r="Q68">
        <v>0.04</v>
      </c>
      <c r="R68">
        <v>-0.7</v>
      </c>
      <c r="T68">
        <f t="shared" si="24"/>
        <v>0.30334844160000002</v>
      </c>
      <c r="U68">
        <f t="shared" si="25"/>
        <v>0.31500000000000006</v>
      </c>
      <c r="V68">
        <f t="shared" si="26"/>
        <v>-4.3560000000000001E-2</v>
      </c>
      <c r="W68">
        <f t="shared" si="27"/>
        <v>1.5040000000000001E-3</v>
      </c>
      <c r="X68">
        <v>0.27</v>
      </c>
      <c r="Y68">
        <v>0.55000000000000004</v>
      </c>
      <c r="Z68">
        <v>1</v>
      </c>
      <c r="AA68">
        <v>0</v>
      </c>
      <c r="AB68">
        <v>0.5</v>
      </c>
      <c r="AC68">
        <v>0.04</v>
      </c>
      <c r="AD68" s="1">
        <v>1.1000000000000001</v>
      </c>
      <c r="AE68" s="1">
        <v>-1</v>
      </c>
      <c r="AF68" s="1">
        <v>0.9</v>
      </c>
      <c r="AG68" s="1">
        <v>-0.8</v>
      </c>
      <c r="AH68" s="1">
        <v>0.5</v>
      </c>
      <c r="AI68" s="1">
        <v>-0.5</v>
      </c>
      <c r="AJ68" s="1">
        <v>0.5</v>
      </c>
      <c r="AK68" s="1">
        <v>-0.5</v>
      </c>
    </row>
    <row r="69" spans="1:37" x14ac:dyDescent="0.2">
      <c r="A69">
        <f t="shared" si="20"/>
        <v>0.56925792671999997</v>
      </c>
      <c r="B69">
        <f t="shared" si="21"/>
        <v>0.53339999999999999</v>
      </c>
      <c r="C69">
        <f t="shared" si="22"/>
        <v>0.13064800000000001</v>
      </c>
      <c r="D69">
        <f t="shared" si="23"/>
        <v>7.9968000000000018E-3</v>
      </c>
      <c r="E69">
        <v>0.27</v>
      </c>
      <c r="F69">
        <v>0.6</v>
      </c>
      <c r="G69">
        <v>1</v>
      </c>
      <c r="H69">
        <v>0</v>
      </c>
      <c r="I69">
        <v>-0.5</v>
      </c>
      <c r="J69">
        <v>-7.0000000000000007E-2</v>
      </c>
      <c r="K69">
        <v>0.1</v>
      </c>
      <c r="L69">
        <v>-1.2</v>
      </c>
      <c r="M69">
        <v>7.0000000000000007E-2</v>
      </c>
      <c r="N69">
        <v>-1.1000000000000001</v>
      </c>
      <c r="O69">
        <v>0.04</v>
      </c>
      <c r="P69">
        <v>-0.7</v>
      </c>
      <c r="Q69">
        <v>0.04</v>
      </c>
      <c r="R69">
        <v>-0.7</v>
      </c>
      <c r="T69">
        <f t="shared" si="24"/>
        <v>0.31782390720000009</v>
      </c>
      <c r="U69">
        <f t="shared" si="25"/>
        <v>0.33000000000000007</v>
      </c>
      <c r="V69">
        <f t="shared" si="26"/>
        <v>-4.5520000000000005E-2</v>
      </c>
      <c r="W69">
        <f t="shared" si="27"/>
        <v>1.5679999999999999E-3</v>
      </c>
      <c r="X69">
        <v>0.27</v>
      </c>
      <c r="Y69">
        <v>0.6</v>
      </c>
      <c r="Z69">
        <v>1</v>
      </c>
      <c r="AA69">
        <v>0</v>
      </c>
      <c r="AB69">
        <v>0.5</v>
      </c>
      <c r="AC69">
        <v>0.04</v>
      </c>
      <c r="AD69" s="1">
        <v>1.1000000000000001</v>
      </c>
      <c r="AE69" s="1">
        <v>-1</v>
      </c>
      <c r="AF69" s="1">
        <v>0.9</v>
      </c>
      <c r="AG69" s="1">
        <v>-0.8</v>
      </c>
      <c r="AH69" s="1">
        <v>0.5</v>
      </c>
      <c r="AI69" s="1">
        <v>-0.5</v>
      </c>
      <c r="AJ69" s="1">
        <v>0.5</v>
      </c>
      <c r="AK69" s="1">
        <v>-0.5</v>
      </c>
    </row>
    <row r="70" spans="1:37" x14ac:dyDescent="0.2">
      <c r="A70">
        <f t="shared" si="20"/>
        <v>0.59241223258000009</v>
      </c>
      <c r="B70">
        <f t="shared" si="21"/>
        <v>0.55510000000000004</v>
      </c>
      <c r="C70">
        <f t="shared" si="22"/>
        <v>0.13594700000000001</v>
      </c>
      <c r="D70">
        <f t="shared" si="23"/>
        <v>8.3202000000000016E-3</v>
      </c>
      <c r="E70">
        <v>0.27</v>
      </c>
      <c r="F70">
        <v>0.65</v>
      </c>
      <c r="G70">
        <v>1</v>
      </c>
      <c r="H70">
        <v>0</v>
      </c>
      <c r="I70">
        <v>-0.5</v>
      </c>
      <c r="J70">
        <v>-7.0000000000000007E-2</v>
      </c>
      <c r="K70">
        <v>0.1</v>
      </c>
      <c r="L70">
        <v>-1.2</v>
      </c>
      <c r="M70">
        <v>7.0000000000000007E-2</v>
      </c>
      <c r="N70">
        <v>-1.1000000000000001</v>
      </c>
      <c r="O70">
        <v>0.04</v>
      </c>
      <c r="P70">
        <v>-0.7</v>
      </c>
      <c r="Q70">
        <v>0.04</v>
      </c>
      <c r="R70">
        <v>-0.7</v>
      </c>
      <c r="T70">
        <f t="shared" si="24"/>
        <v>0.33229937280000005</v>
      </c>
      <c r="U70">
        <f t="shared" si="25"/>
        <v>0.34500000000000003</v>
      </c>
      <c r="V70">
        <f t="shared" si="26"/>
        <v>-4.7480000000000008E-2</v>
      </c>
      <c r="W70">
        <f t="shared" si="27"/>
        <v>1.6320000000000002E-3</v>
      </c>
      <c r="X70">
        <v>0.27</v>
      </c>
      <c r="Y70">
        <v>0.65</v>
      </c>
      <c r="Z70">
        <v>1</v>
      </c>
      <c r="AA70">
        <v>0</v>
      </c>
      <c r="AB70">
        <v>0.5</v>
      </c>
      <c r="AC70">
        <v>0.04</v>
      </c>
      <c r="AD70" s="1">
        <v>1.1000000000000001</v>
      </c>
      <c r="AE70" s="1">
        <v>-1</v>
      </c>
      <c r="AF70" s="1">
        <v>0.9</v>
      </c>
      <c r="AG70" s="1">
        <v>-0.8</v>
      </c>
      <c r="AH70" s="1">
        <v>0.5</v>
      </c>
      <c r="AI70" s="1">
        <v>-0.5</v>
      </c>
      <c r="AJ70" s="1">
        <v>0.5</v>
      </c>
      <c r="AK70" s="1">
        <v>-0.5</v>
      </c>
    </row>
    <row r="71" spans="1:37" x14ac:dyDescent="0.2">
      <c r="A71">
        <f t="shared" si="20"/>
        <v>0.61556653844000009</v>
      </c>
      <c r="B71">
        <f t="shared" si="21"/>
        <v>0.57679999999999998</v>
      </c>
      <c r="C71">
        <f t="shared" si="22"/>
        <v>0.14124600000000001</v>
      </c>
      <c r="D71">
        <f t="shared" si="23"/>
        <v>8.6436000000000013E-3</v>
      </c>
      <c r="E71">
        <v>0.27</v>
      </c>
      <c r="F71">
        <v>0.7</v>
      </c>
      <c r="G71">
        <v>1</v>
      </c>
      <c r="H71">
        <v>0</v>
      </c>
      <c r="I71">
        <v>-0.5</v>
      </c>
      <c r="J71">
        <v>-7.0000000000000007E-2</v>
      </c>
      <c r="K71">
        <v>0.1</v>
      </c>
      <c r="L71">
        <v>-1.2</v>
      </c>
      <c r="M71">
        <v>7.0000000000000007E-2</v>
      </c>
      <c r="N71">
        <v>-1.1000000000000001</v>
      </c>
      <c r="O71">
        <v>0.04</v>
      </c>
      <c r="P71">
        <v>-0.7</v>
      </c>
      <c r="Q71">
        <v>0.04</v>
      </c>
      <c r="R71">
        <v>-0.7</v>
      </c>
      <c r="T71">
        <f t="shared" si="24"/>
        <v>0.34677483840000006</v>
      </c>
      <c r="U71">
        <f t="shared" si="25"/>
        <v>0.36000000000000004</v>
      </c>
      <c r="V71">
        <f t="shared" si="26"/>
        <v>-4.9440000000000005E-2</v>
      </c>
      <c r="W71">
        <f t="shared" si="27"/>
        <v>1.696E-3</v>
      </c>
      <c r="X71">
        <v>0.27</v>
      </c>
      <c r="Y71">
        <v>0.7</v>
      </c>
      <c r="Z71">
        <v>1</v>
      </c>
      <c r="AA71">
        <v>0</v>
      </c>
      <c r="AB71">
        <v>0.5</v>
      </c>
      <c r="AC71">
        <v>0.04</v>
      </c>
      <c r="AD71" s="1">
        <v>1.1000000000000001</v>
      </c>
      <c r="AE71" s="1">
        <v>-1</v>
      </c>
      <c r="AF71" s="1">
        <v>0.9</v>
      </c>
      <c r="AG71" s="1">
        <v>-0.8</v>
      </c>
      <c r="AH71" s="1">
        <v>0.5</v>
      </c>
      <c r="AI71" s="1">
        <v>-0.5</v>
      </c>
      <c r="AJ71" s="1">
        <v>0.5</v>
      </c>
      <c r="AK71" s="1">
        <v>-0.5</v>
      </c>
    </row>
    <row r="72" spans="1:37" x14ac:dyDescent="0.2">
      <c r="A72">
        <f t="shared" si="20"/>
        <v>0.63872084429999987</v>
      </c>
      <c r="B72">
        <f t="shared" si="21"/>
        <v>0.59849999999999992</v>
      </c>
      <c r="C72">
        <f t="shared" si="22"/>
        <v>0.14654500000000001</v>
      </c>
      <c r="D72">
        <f t="shared" si="23"/>
        <v>8.967000000000001E-3</v>
      </c>
      <c r="E72">
        <v>0.27</v>
      </c>
      <c r="F72">
        <v>0.75</v>
      </c>
      <c r="G72">
        <v>1</v>
      </c>
      <c r="H72">
        <v>0</v>
      </c>
      <c r="I72">
        <v>-0.5</v>
      </c>
      <c r="J72">
        <v>-7.0000000000000007E-2</v>
      </c>
      <c r="K72">
        <v>0.1</v>
      </c>
      <c r="L72">
        <v>-1.2</v>
      </c>
      <c r="M72">
        <v>7.0000000000000007E-2</v>
      </c>
      <c r="N72">
        <v>-1.1000000000000001</v>
      </c>
      <c r="O72">
        <v>0.04</v>
      </c>
      <c r="P72">
        <v>-0.7</v>
      </c>
      <c r="Q72">
        <v>0.04</v>
      </c>
      <c r="R72">
        <v>-0.7</v>
      </c>
      <c r="T72">
        <f t="shared" si="24"/>
        <v>0.36125030400000008</v>
      </c>
      <c r="U72">
        <f t="shared" si="25"/>
        <v>0.37500000000000006</v>
      </c>
      <c r="V72">
        <f t="shared" si="26"/>
        <v>-5.1400000000000001E-2</v>
      </c>
      <c r="W72">
        <f t="shared" si="27"/>
        <v>1.7599999999999998E-3</v>
      </c>
      <c r="X72">
        <v>0.27</v>
      </c>
      <c r="Y72">
        <v>0.75</v>
      </c>
      <c r="Z72">
        <v>1</v>
      </c>
      <c r="AA72">
        <v>0</v>
      </c>
      <c r="AB72">
        <v>0.5</v>
      </c>
      <c r="AC72">
        <v>0.04</v>
      </c>
      <c r="AD72" s="1">
        <v>1.1000000000000001</v>
      </c>
      <c r="AE72" s="1">
        <v>-1</v>
      </c>
      <c r="AF72" s="1">
        <v>0.9</v>
      </c>
      <c r="AG72" s="1">
        <v>-0.8</v>
      </c>
      <c r="AH72" s="1">
        <v>0.5</v>
      </c>
      <c r="AI72" s="1">
        <v>-0.5</v>
      </c>
      <c r="AJ72" s="1">
        <v>0.5</v>
      </c>
      <c r="AK72" s="1">
        <v>-0.5</v>
      </c>
    </row>
    <row r="73" spans="1:37" x14ac:dyDescent="0.2">
      <c r="A73">
        <f t="shared" si="20"/>
        <v>0.66187515016000009</v>
      </c>
      <c r="B73">
        <f t="shared" si="21"/>
        <v>0.62020000000000008</v>
      </c>
      <c r="C73">
        <f t="shared" si="22"/>
        <v>0.15184400000000003</v>
      </c>
      <c r="D73">
        <f t="shared" si="23"/>
        <v>9.2904000000000025E-3</v>
      </c>
      <c r="E73">
        <v>0.27</v>
      </c>
      <c r="F73">
        <v>0.8</v>
      </c>
      <c r="G73">
        <v>1</v>
      </c>
      <c r="H73">
        <v>0</v>
      </c>
      <c r="I73">
        <v>-0.5</v>
      </c>
      <c r="J73">
        <v>-7.0000000000000007E-2</v>
      </c>
      <c r="K73">
        <v>0.1</v>
      </c>
      <c r="L73">
        <v>-1.2</v>
      </c>
      <c r="M73">
        <v>7.0000000000000007E-2</v>
      </c>
      <c r="N73">
        <v>-1.1000000000000001</v>
      </c>
      <c r="O73">
        <v>0.04</v>
      </c>
      <c r="P73">
        <v>-0.7</v>
      </c>
      <c r="Q73">
        <v>0.04</v>
      </c>
      <c r="R73">
        <v>-0.7</v>
      </c>
      <c r="T73">
        <f t="shared" si="24"/>
        <v>0.37572576960000004</v>
      </c>
      <c r="U73">
        <f t="shared" si="25"/>
        <v>0.39000000000000007</v>
      </c>
      <c r="V73">
        <f t="shared" si="26"/>
        <v>-5.3360000000000005E-2</v>
      </c>
      <c r="W73">
        <f t="shared" si="27"/>
        <v>1.8240000000000001E-3</v>
      </c>
      <c r="X73">
        <v>0.27</v>
      </c>
      <c r="Y73">
        <v>0.8</v>
      </c>
      <c r="Z73">
        <v>1</v>
      </c>
      <c r="AA73">
        <v>0</v>
      </c>
      <c r="AB73">
        <v>0.5</v>
      </c>
      <c r="AC73">
        <v>0.04</v>
      </c>
      <c r="AD73" s="1">
        <v>1.1000000000000001</v>
      </c>
      <c r="AE73" s="1">
        <v>-1</v>
      </c>
      <c r="AF73" s="1">
        <v>0.9</v>
      </c>
      <c r="AG73" s="1">
        <v>-0.8</v>
      </c>
      <c r="AH73" s="1">
        <v>0.5</v>
      </c>
      <c r="AI73" s="1">
        <v>-0.5</v>
      </c>
      <c r="AJ73" s="1">
        <v>0.5</v>
      </c>
      <c r="AK73" s="1">
        <v>-0.5</v>
      </c>
    </row>
    <row r="74" spans="1:37" x14ac:dyDescent="0.2">
      <c r="A74">
        <f t="shared" si="20"/>
        <v>0.68502945601999998</v>
      </c>
      <c r="B74">
        <f t="shared" si="21"/>
        <v>0.64190000000000003</v>
      </c>
      <c r="C74">
        <f t="shared" si="22"/>
        <v>0.15714300000000003</v>
      </c>
      <c r="D74">
        <f t="shared" si="23"/>
        <v>9.6138000000000022E-3</v>
      </c>
      <c r="E74">
        <v>0.27</v>
      </c>
      <c r="F74">
        <v>0.85</v>
      </c>
      <c r="G74">
        <v>1</v>
      </c>
      <c r="H74">
        <v>0</v>
      </c>
      <c r="I74">
        <v>-0.5</v>
      </c>
      <c r="J74">
        <v>-7.0000000000000007E-2</v>
      </c>
      <c r="K74">
        <v>0.1</v>
      </c>
      <c r="L74">
        <v>-1.2</v>
      </c>
      <c r="M74">
        <v>7.0000000000000007E-2</v>
      </c>
      <c r="N74">
        <v>-1.1000000000000001</v>
      </c>
      <c r="O74">
        <v>0.04</v>
      </c>
      <c r="P74">
        <v>-0.7</v>
      </c>
      <c r="Q74">
        <v>0.04</v>
      </c>
      <c r="R74">
        <v>-0.7</v>
      </c>
      <c r="T74">
        <f t="shared" si="24"/>
        <v>0.39020123520000005</v>
      </c>
      <c r="U74">
        <f t="shared" si="25"/>
        <v>0.40500000000000008</v>
      </c>
      <c r="V74">
        <f t="shared" si="26"/>
        <v>-5.5320000000000008E-2</v>
      </c>
      <c r="W74">
        <f t="shared" si="27"/>
        <v>1.8879999999999999E-3</v>
      </c>
      <c r="X74">
        <v>0.27</v>
      </c>
      <c r="Y74">
        <v>0.85</v>
      </c>
      <c r="Z74">
        <v>1</v>
      </c>
      <c r="AA74">
        <v>0</v>
      </c>
      <c r="AB74">
        <v>0.5</v>
      </c>
      <c r="AC74">
        <v>0.04</v>
      </c>
      <c r="AD74" s="1">
        <v>1.1000000000000001</v>
      </c>
      <c r="AE74" s="1">
        <v>-1</v>
      </c>
      <c r="AF74" s="1">
        <v>0.9</v>
      </c>
      <c r="AG74" s="1">
        <v>-0.8</v>
      </c>
      <c r="AH74" s="1">
        <v>0.5</v>
      </c>
      <c r="AI74" s="1">
        <v>-0.5</v>
      </c>
      <c r="AJ74" s="1">
        <v>0.5</v>
      </c>
      <c r="AK74" s="1">
        <v>-0.5</v>
      </c>
    </row>
    <row r="75" spans="1:37" x14ac:dyDescent="0.2">
      <c r="A75">
        <f t="shared" si="20"/>
        <v>0.7081837618800001</v>
      </c>
      <c r="B75">
        <f t="shared" si="21"/>
        <v>0.66360000000000008</v>
      </c>
      <c r="C75">
        <f t="shared" si="22"/>
        <v>0.16244200000000003</v>
      </c>
      <c r="D75">
        <f t="shared" si="23"/>
        <v>9.9372000000000019E-3</v>
      </c>
      <c r="E75">
        <v>0.27</v>
      </c>
      <c r="F75">
        <v>0.9</v>
      </c>
      <c r="G75">
        <v>1</v>
      </c>
      <c r="H75">
        <v>0</v>
      </c>
      <c r="I75">
        <v>-0.5</v>
      </c>
      <c r="J75">
        <v>-7.0000000000000007E-2</v>
      </c>
      <c r="K75">
        <v>0.1</v>
      </c>
      <c r="L75">
        <v>-1.2</v>
      </c>
      <c r="M75">
        <v>7.0000000000000007E-2</v>
      </c>
      <c r="N75">
        <v>-1.1000000000000001</v>
      </c>
      <c r="O75">
        <v>0.04</v>
      </c>
      <c r="P75">
        <v>-0.7</v>
      </c>
      <c r="Q75">
        <v>0.04</v>
      </c>
      <c r="R75">
        <v>-0.7</v>
      </c>
      <c r="T75">
        <f t="shared" si="24"/>
        <v>0.40467670080000001</v>
      </c>
      <c r="U75">
        <f t="shared" si="25"/>
        <v>0.42000000000000004</v>
      </c>
      <c r="V75">
        <f t="shared" si="26"/>
        <v>-5.7280000000000005E-2</v>
      </c>
      <c r="W75">
        <f t="shared" si="27"/>
        <v>1.9520000000000002E-3</v>
      </c>
      <c r="X75">
        <v>0.27</v>
      </c>
      <c r="Y75">
        <v>0.9</v>
      </c>
      <c r="Z75">
        <v>1</v>
      </c>
      <c r="AA75">
        <v>0</v>
      </c>
      <c r="AB75">
        <v>0.5</v>
      </c>
      <c r="AC75">
        <v>0.04</v>
      </c>
      <c r="AD75" s="1">
        <v>1.1000000000000001</v>
      </c>
      <c r="AE75" s="1">
        <v>-1</v>
      </c>
      <c r="AF75" s="1">
        <v>0.9</v>
      </c>
      <c r="AG75" s="1">
        <v>-0.8</v>
      </c>
      <c r="AH75" s="1">
        <v>0.5</v>
      </c>
      <c r="AI75" s="1">
        <v>-0.5</v>
      </c>
      <c r="AJ75" s="1">
        <v>0.5</v>
      </c>
      <c r="AK75" s="1">
        <v>-0.5</v>
      </c>
    </row>
    <row r="76" spans="1:37" x14ac:dyDescent="0.2">
      <c r="A76">
        <f t="shared" si="20"/>
        <v>0.73133806773999999</v>
      </c>
      <c r="B76">
        <f t="shared" si="21"/>
        <v>0.68530000000000002</v>
      </c>
      <c r="C76">
        <f t="shared" si="22"/>
        <v>0.16774100000000003</v>
      </c>
      <c r="D76">
        <f t="shared" si="23"/>
        <v>1.0260600000000002E-2</v>
      </c>
      <c r="E76">
        <v>0.27</v>
      </c>
      <c r="F76">
        <v>0.95</v>
      </c>
      <c r="G76">
        <v>1</v>
      </c>
      <c r="H76">
        <v>0</v>
      </c>
      <c r="I76">
        <v>-0.5</v>
      </c>
      <c r="J76">
        <v>-7.0000000000000007E-2</v>
      </c>
      <c r="K76">
        <v>0.1</v>
      </c>
      <c r="L76">
        <v>-1.2</v>
      </c>
      <c r="M76">
        <v>7.0000000000000007E-2</v>
      </c>
      <c r="N76">
        <v>-1.1000000000000001</v>
      </c>
      <c r="O76">
        <v>0.04</v>
      </c>
      <c r="P76">
        <v>-0.7</v>
      </c>
      <c r="Q76">
        <v>0.04</v>
      </c>
      <c r="R76">
        <v>-0.7</v>
      </c>
      <c r="T76">
        <f t="shared" si="24"/>
        <v>0.41915216640000008</v>
      </c>
      <c r="U76">
        <f t="shared" si="25"/>
        <v>0.43500000000000005</v>
      </c>
      <c r="V76">
        <f t="shared" si="26"/>
        <v>-5.9240000000000001E-2</v>
      </c>
      <c r="W76">
        <f t="shared" si="27"/>
        <v>2.016E-3</v>
      </c>
      <c r="X76">
        <v>0.27</v>
      </c>
      <c r="Y76">
        <v>0.95</v>
      </c>
      <c r="Z76">
        <v>1</v>
      </c>
      <c r="AA76">
        <v>0</v>
      </c>
      <c r="AB76">
        <v>0.5</v>
      </c>
      <c r="AC76">
        <v>0.04</v>
      </c>
      <c r="AD76" s="1">
        <v>1.1000000000000001</v>
      </c>
      <c r="AE76" s="1">
        <v>-1</v>
      </c>
      <c r="AF76" s="1">
        <v>0.9</v>
      </c>
      <c r="AG76" s="1">
        <v>-0.8</v>
      </c>
      <c r="AH76" s="1">
        <v>0.5</v>
      </c>
      <c r="AI76" s="1">
        <v>-0.5</v>
      </c>
      <c r="AJ76" s="1">
        <v>0.5</v>
      </c>
      <c r="AK76" s="1">
        <v>-0.5</v>
      </c>
    </row>
    <row r="77" spans="1:37" x14ac:dyDescent="0.2">
      <c r="A77">
        <f t="shared" si="20"/>
        <v>0.75449237359999999</v>
      </c>
      <c r="B77">
        <f t="shared" si="21"/>
        <v>0.70699999999999996</v>
      </c>
      <c r="C77">
        <f t="shared" si="22"/>
        <v>0.17304000000000003</v>
      </c>
      <c r="D77">
        <f t="shared" si="23"/>
        <v>1.0584000000000001E-2</v>
      </c>
      <c r="E77">
        <v>0.27</v>
      </c>
      <c r="F77">
        <v>1</v>
      </c>
      <c r="G77">
        <v>1</v>
      </c>
      <c r="H77">
        <v>0</v>
      </c>
      <c r="I77">
        <v>-0.5</v>
      </c>
      <c r="J77">
        <v>-7.0000000000000007E-2</v>
      </c>
      <c r="K77">
        <v>0.1</v>
      </c>
      <c r="L77">
        <v>-1.2</v>
      </c>
      <c r="M77">
        <v>7.0000000000000007E-2</v>
      </c>
      <c r="N77">
        <v>-1.1000000000000001</v>
      </c>
      <c r="O77">
        <v>0.04</v>
      </c>
      <c r="P77">
        <v>-0.7</v>
      </c>
      <c r="Q77">
        <v>0.04</v>
      </c>
      <c r="R77">
        <v>-0.7</v>
      </c>
      <c r="T77">
        <f t="shared" si="24"/>
        <v>0.4336276320000001</v>
      </c>
      <c r="U77">
        <f t="shared" si="25"/>
        <v>0.45000000000000007</v>
      </c>
      <c r="V77">
        <f t="shared" si="26"/>
        <v>-6.1200000000000004E-2</v>
      </c>
      <c r="W77">
        <f t="shared" si="27"/>
        <v>2.0800000000000003E-3</v>
      </c>
      <c r="X77">
        <v>0.27</v>
      </c>
      <c r="Y77">
        <v>1</v>
      </c>
      <c r="Z77">
        <v>1</v>
      </c>
      <c r="AA77">
        <v>0</v>
      </c>
      <c r="AB77">
        <v>0.5</v>
      </c>
      <c r="AC77">
        <v>0.04</v>
      </c>
      <c r="AD77" s="1">
        <v>1.1000000000000001</v>
      </c>
      <c r="AE77" s="1">
        <v>-1</v>
      </c>
      <c r="AF77" s="1">
        <v>0.9</v>
      </c>
      <c r="AG77" s="1">
        <v>-0.8</v>
      </c>
      <c r="AH77" s="1">
        <v>0.5</v>
      </c>
      <c r="AI77" s="1">
        <v>-0.5</v>
      </c>
      <c r="AJ77" s="1">
        <v>0.5</v>
      </c>
      <c r="AK77" s="1">
        <v>-0.5</v>
      </c>
    </row>
    <row r="78" spans="1:37" x14ac:dyDescent="0.2">
      <c r="AD78" s="1"/>
      <c r="AE78" s="1"/>
      <c r="AF78" s="1"/>
      <c r="AG78" s="1"/>
      <c r="AH78" s="1"/>
      <c r="AI78" s="1"/>
      <c r="AJ78" s="1"/>
      <c r="AK78" s="1"/>
    </row>
    <row r="79" spans="1:37" x14ac:dyDescent="0.2">
      <c r="A79" t="s">
        <v>82</v>
      </c>
      <c r="AD79" s="1"/>
      <c r="AE79" s="1"/>
      <c r="AF79" s="1"/>
      <c r="AG79" s="1"/>
      <c r="AH79" s="1"/>
      <c r="AI79" s="1"/>
      <c r="AJ79" s="1"/>
      <c r="AK79" s="1"/>
    </row>
    <row r="80" spans="1:37" x14ac:dyDescent="0.2">
      <c r="A80" t="s">
        <v>67</v>
      </c>
      <c r="B80" t="s">
        <v>81</v>
      </c>
      <c r="C80" t="s">
        <v>80</v>
      </c>
      <c r="D80" t="s">
        <v>79</v>
      </c>
      <c r="E80" t="s">
        <v>73</v>
      </c>
      <c r="F80" t="s">
        <v>63</v>
      </c>
      <c r="G80" t="s">
        <v>72</v>
      </c>
      <c r="H80" t="s">
        <v>71</v>
      </c>
      <c r="I80" t="s">
        <v>78</v>
      </c>
      <c r="J80" t="s">
        <v>77</v>
      </c>
      <c r="K80" t="s">
        <v>6</v>
      </c>
      <c r="L80" t="s">
        <v>10</v>
      </c>
      <c r="M80" t="s">
        <v>7</v>
      </c>
      <c r="N80" t="s">
        <v>11</v>
      </c>
      <c r="O80" t="s">
        <v>8</v>
      </c>
      <c r="P80" t="s">
        <v>12</v>
      </c>
      <c r="Q80" t="s">
        <v>9</v>
      </c>
      <c r="R80" t="s">
        <v>13</v>
      </c>
      <c r="T80" t="s">
        <v>67</v>
      </c>
      <c r="U80" t="s">
        <v>76</v>
      </c>
      <c r="V80" t="s">
        <v>75</v>
      </c>
      <c r="W80" t="s">
        <v>74</v>
      </c>
      <c r="X80" t="s">
        <v>73</v>
      </c>
      <c r="Y80" t="s">
        <v>63</v>
      </c>
      <c r="Z80" t="s">
        <v>72</v>
      </c>
      <c r="AA80" t="s">
        <v>71</v>
      </c>
      <c r="AB80" t="s">
        <v>70</v>
      </c>
      <c r="AC80" t="s">
        <v>69</v>
      </c>
      <c r="AD80" t="s">
        <v>16</v>
      </c>
      <c r="AE80" t="s">
        <v>20</v>
      </c>
      <c r="AF80" t="s">
        <v>17</v>
      </c>
      <c r="AG80" t="s">
        <v>21</v>
      </c>
      <c r="AH80" t="s">
        <v>18</v>
      </c>
      <c r="AI80" t="s">
        <v>22</v>
      </c>
      <c r="AJ80" t="s">
        <v>19</v>
      </c>
      <c r="AK80" t="s">
        <v>23</v>
      </c>
    </row>
    <row r="81" spans="1:37" x14ac:dyDescent="0.2">
      <c r="A81">
        <f t="shared" ref="A81:A101" si="28">B81+C81*E81+D81*E81^2</f>
        <v>0.23154305860000002</v>
      </c>
      <c r="B81">
        <f t="shared" ref="B81:B101" si="29">(K81+L81*I81)*((M81+N81*I81)*F81+(O81+P81*I81)*G81+(Q81+R81*I81)*H81)</f>
        <v>0.21700000000000003</v>
      </c>
      <c r="C81">
        <f t="shared" ref="C81:C101" si="30">(K81+L81*I81)*(N81*J81*F81+P81*J81*G81+R81*J81*H81)+((M81+N81*I81)*F81+(O81+P81*I81)*G81+(Q81+R81*I81)*H81)*L81*J81</f>
        <v>5.2990000000000009E-2</v>
      </c>
      <c r="D81">
        <f t="shared" ref="D81:D101" si="31">L81*J81*(N81*J81*F81+P81*J81*G81+R81*J81*H81)</f>
        <v>3.2340000000000008E-3</v>
      </c>
      <c r="E81">
        <v>0.27</v>
      </c>
      <c r="F81">
        <v>0.5</v>
      </c>
      <c r="G81">
        <v>0</v>
      </c>
      <c r="H81">
        <v>0</v>
      </c>
      <c r="I81">
        <v>-0.5</v>
      </c>
      <c r="J81">
        <v>-7.0000000000000007E-2</v>
      </c>
      <c r="K81">
        <v>0.1</v>
      </c>
      <c r="L81">
        <v>-1.2</v>
      </c>
      <c r="M81">
        <v>7.0000000000000007E-2</v>
      </c>
      <c r="N81">
        <v>-1.1000000000000001</v>
      </c>
      <c r="O81">
        <v>0.04</v>
      </c>
      <c r="P81">
        <v>-0.7</v>
      </c>
      <c r="Q81">
        <v>0.04</v>
      </c>
      <c r="R81">
        <v>-0.7</v>
      </c>
      <c r="T81">
        <f t="shared" ref="T81:T101" si="32">U81+V81*X81+W81*X81^2</f>
        <v>0.14475465600000004</v>
      </c>
      <c r="U81">
        <f t="shared" ref="U81:U101" si="33">(AD81+AE81*AB81)*((AF81+AG81*AB81)*Y81+(AH81+AI81*AB81)*Z81+(AJ81+AK81*AB81)*AA81)</f>
        <v>0.15000000000000002</v>
      </c>
      <c r="V81">
        <f t="shared" ref="V81:V101" si="34">(AD81+AE81*AB81)*(AG81*AC81*Y81+AI81*AC81*Z81+AK81*AC81*AA81)+((AF81+AG81*AB81)*Y81+(AH81+AI81*AB81)*Z81+(AJ81+AK81*AB81)*AA81)*AE81*AC81</f>
        <v>-1.9599999999999999E-2</v>
      </c>
      <c r="W81">
        <f t="shared" ref="W81:W101" si="35">AE81*AC81*(AG81*AC81*Y81+AI81*AC81*Z81+AK81*AC81*AA81)</f>
        <v>6.4000000000000005E-4</v>
      </c>
      <c r="X81">
        <v>0.27</v>
      </c>
      <c r="Y81">
        <v>0.5</v>
      </c>
      <c r="Z81">
        <v>0</v>
      </c>
      <c r="AA81">
        <v>0</v>
      </c>
      <c r="AB81">
        <v>0.5</v>
      </c>
      <c r="AC81">
        <v>0.04</v>
      </c>
      <c r="AD81" s="1">
        <v>1.1000000000000001</v>
      </c>
      <c r="AE81" s="1">
        <v>-1</v>
      </c>
      <c r="AF81" s="1">
        <v>0.9</v>
      </c>
      <c r="AG81" s="1">
        <v>-0.8</v>
      </c>
      <c r="AH81" s="1">
        <v>0.5</v>
      </c>
      <c r="AI81" s="1">
        <v>-0.5</v>
      </c>
      <c r="AJ81" s="1">
        <v>0.5</v>
      </c>
      <c r="AK81" s="1">
        <v>-0.5</v>
      </c>
    </row>
    <row r="82" spans="1:37" x14ac:dyDescent="0.2">
      <c r="A82">
        <f t="shared" si="28"/>
        <v>0.24611337142000003</v>
      </c>
      <c r="B82">
        <f t="shared" si="29"/>
        <v>0.23065000000000002</v>
      </c>
      <c r="C82">
        <f t="shared" si="30"/>
        <v>5.6343000000000011E-2</v>
      </c>
      <c r="D82">
        <f t="shared" si="31"/>
        <v>3.4398000000000007E-3</v>
      </c>
      <c r="E82">
        <v>0.27</v>
      </c>
      <c r="F82">
        <v>0.5</v>
      </c>
      <c r="G82">
        <v>0.05</v>
      </c>
      <c r="H82">
        <v>0</v>
      </c>
      <c r="I82">
        <v>-0.5</v>
      </c>
      <c r="J82">
        <v>-7.0000000000000007E-2</v>
      </c>
      <c r="K82">
        <v>0.1</v>
      </c>
      <c r="L82">
        <v>-1.2</v>
      </c>
      <c r="M82">
        <v>7.0000000000000007E-2</v>
      </c>
      <c r="N82">
        <v>-1.1000000000000001</v>
      </c>
      <c r="O82">
        <v>0.04</v>
      </c>
      <c r="P82">
        <v>-0.7</v>
      </c>
      <c r="Q82">
        <v>0.04</v>
      </c>
      <c r="R82">
        <v>-0.7</v>
      </c>
      <c r="T82">
        <f t="shared" si="32"/>
        <v>0.15196057200000002</v>
      </c>
      <c r="U82">
        <f t="shared" si="33"/>
        <v>0.15750000000000003</v>
      </c>
      <c r="V82">
        <f t="shared" si="34"/>
        <v>-2.0700000000000003E-2</v>
      </c>
      <c r="W82">
        <f t="shared" si="35"/>
        <v>6.8000000000000005E-4</v>
      </c>
      <c r="X82">
        <v>0.27</v>
      </c>
      <c r="Y82">
        <v>0.5</v>
      </c>
      <c r="Z82">
        <v>0.05</v>
      </c>
      <c r="AA82">
        <v>0</v>
      </c>
      <c r="AB82">
        <v>0.5</v>
      </c>
      <c r="AC82">
        <v>0.04</v>
      </c>
      <c r="AD82" s="1">
        <v>1.1000000000000001</v>
      </c>
      <c r="AE82" s="1">
        <v>-1</v>
      </c>
      <c r="AF82" s="1">
        <v>0.9</v>
      </c>
      <c r="AG82" s="1">
        <v>-0.8</v>
      </c>
      <c r="AH82" s="1">
        <v>0.5</v>
      </c>
      <c r="AI82" s="1">
        <v>-0.5</v>
      </c>
      <c r="AJ82" s="1">
        <v>0.5</v>
      </c>
      <c r="AK82" s="1">
        <v>-0.5</v>
      </c>
    </row>
    <row r="83" spans="1:37" x14ac:dyDescent="0.2">
      <c r="A83">
        <f t="shared" si="28"/>
        <v>0.26068368424000005</v>
      </c>
      <c r="B83">
        <f t="shared" si="29"/>
        <v>0.24430000000000002</v>
      </c>
      <c r="C83">
        <f t="shared" si="30"/>
        <v>5.9696000000000006E-2</v>
      </c>
      <c r="D83">
        <f t="shared" si="31"/>
        <v>3.645600000000001E-3</v>
      </c>
      <c r="E83">
        <v>0.27</v>
      </c>
      <c r="F83">
        <v>0.5</v>
      </c>
      <c r="G83">
        <v>0.1</v>
      </c>
      <c r="H83">
        <v>0</v>
      </c>
      <c r="I83">
        <v>-0.5</v>
      </c>
      <c r="J83">
        <v>-7.0000000000000007E-2</v>
      </c>
      <c r="K83">
        <v>0.1</v>
      </c>
      <c r="L83">
        <v>-1.2</v>
      </c>
      <c r="M83">
        <v>7.0000000000000007E-2</v>
      </c>
      <c r="N83">
        <v>-1.1000000000000001</v>
      </c>
      <c r="O83">
        <v>0.04</v>
      </c>
      <c r="P83">
        <v>-0.7</v>
      </c>
      <c r="Q83">
        <v>0.04</v>
      </c>
      <c r="R83">
        <v>-0.7</v>
      </c>
      <c r="T83">
        <f t="shared" si="32"/>
        <v>0.15916648800000002</v>
      </c>
      <c r="U83">
        <f t="shared" si="33"/>
        <v>0.16500000000000004</v>
      </c>
      <c r="V83">
        <f t="shared" si="34"/>
        <v>-2.1800000000000003E-2</v>
      </c>
      <c r="W83">
        <f t="shared" si="35"/>
        <v>7.2000000000000005E-4</v>
      </c>
      <c r="X83">
        <v>0.27</v>
      </c>
      <c r="Y83">
        <v>0.5</v>
      </c>
      <c r="Z83">
        <v>0.1</v>
      </c>
      <c r="AA83">
        <v>0</v>
      </c>
      <c r="AB83">
        <v>0.5</v>
      </c>
      <c r="AC83">
        <v>0.04</v>
      </c>
      <c r="AD83" s="1">
        <v>1.1000000000000001</v>
      </c>
      <c r="AE83" s="1">
        <v>-1</v>
      </c>
      <c r="AF83" s="1">
        <v>0.9</v>
      </c>
      <c r="AG83" s="1">
        <v>-0.8</v>
      </c>
      <c r="AH83" s="1">
        <v>0.5</v>
      </c>
      <c r="AI83" s="1">
        <v>-0.5</v>
      </c>
      <c r="AJ83" s="1">
        <v>0.5</v>
      </c>
      <c r="AK83" s="1">
        <v>-0.5</v>
      </c>
    </row>
    <row r="84" spans="1:37" x14ac:dyDescent="0.2">
      <c r="A84">
        <f t="shared" si="28"/>
        <v>0.27525399706000003</v>
      </c>
      <c r="B84">
        <f t="shared" si="29"/>
        <v>0.25795000000000001</v>
      </c>
      <c r="C84">
        <f t="shared" si="30"/>
        <v>6.3049000000000008E-2</v>
      </c>
      <c r="D84">
        <f t="shared" si="31"/>
        <v>3.8514000000000009E-3</v>
      </c>
      <c r="E84">
        <v>0.27</v>
      </c>
      <c r="F84">
        <v>0.5</v>
      </c>
      <c r="G84">
        <v>0.15</v>
      </c>
      <c r="H84">
        <v>0</v>
      </c>
      <c r="I84">
        <v>-0.5</v>
      </c>
      <c r="J84">
        <v>-7.0000000000000007E-2</v>
      </c>
      <c r="K84">
        <v>0.1</v>
      </c>
      <c r="L84">
        <v>-1.2</v>
      </c>
      <c r="M84">
        <v>7.0000000000000007E-2</v>
      </c>
      <c r="N84">
        <v>-1.1000000000000001</v>
      </c>
      <c r="O84">
        <v>0.04</v>
      </c>
      <c r="P84">
        <v>-0.7</v>
      </c>
      <c r="Q84">
        <v>0.04</v>
      </c>
      <c r="R84">
        <v>-0.7</v>
      </c>
      <c r="T84">
        <f t="shared" si="32"/>
        <v>0.16637240400000003</v>
      </c>
      <c r="U84">
        <f t="shared" si="33"/>
        <v>0.17250000000000001</v>
      </c>
      <c r="V84">
        <f t="shared" si="34"/>
        <v>-2.2900000000000004E-2</v>
      </c>
      <c r="W84">
        <f t="shared" si="35"/>
        <v>7.6000000000000004E-4</v>
      </c>
      <c r="X84">
        <v>0.27</v>
      </c>
      <c r="Y84">
        <v>0.5</v>
      </c>
      <c r="Z84">
        <v>0.15</v>
      </c>
      <c r="AA84">
        <v>0</v>
      </c>
      <c r="AB84">
        <v>0.5</v>
      </c>
      <c r="AC84">
        <v>0.04</v>
      </c>
      <c r="AD84" s="1">
        <v>1.1000000000000001</v>
      </c>
      <c r="AE84" s="1">
        <v>-1</v>
      </c>
      <c r="AF84" s="1">
        <v>0.9</v>
      </c>
      <c r="AG84" s="1">
        <v>-0.8</v>
      </c>
      <c r="AH84" s="1">
        <v>0.5</v>
      </c>
      <c r="AI84" s="1">
        <v>-0.5</v>
      </c>
      <c r="AJ84" s="1">
        <v>0.5</v>
      </c>
      <c r="AK84" s="1">
        <v>-0.5</v>
      </c>
    </row>
    <row r="85" spans="1:37" x14ac:dyDescent="0.2">
      <c r="A85">
        <f t="shared" si="28"/>
        <v>0.28982430988000002</v>
      </c>
      <c r="B85">
        <f t="shared" si="29"/>
        <v>0.27160000000000001</v>
      </c>
      <c r="C85">
        <f t="shared" si="30"/>
        <v>6.6402000000000017E-2</v>
      </c>
      <c r="D85">
        <f t="shared" si="31"/>
        <v>4.0572000000000013E-3</v>
      </c>
      <c r="E85">
        <v>0.27</v>
      </c>
      <c r="F85">
        <v>0.5</v>
      </c>
      <c r="G85">
        <v>0.2</v>
      </c>
      <c r="H85">
        <v>0</v>
      </c>
      <c r="I85">
        <v>-0.5</v>
      </c>
      <c r="J85">
        <v>-7.0000000000000007E-2</v>
      </c>
      <c r="K85">
        <v>0.1</v>
      </c>
      <c r="L85">
        <v>-1.2</v>
      </c>
      <c r="M85">
        <v>7.0000000000000007E-2</v>
      </c>
      <c r="N85">
        <v>-1.1000000000000001</v>
      </c>
      <c r="O85">
        <v>0.04</v>
      </c>
      <c r="P85">
        <v>-0.7</v>
      </c>
      <c r="Q85">
        <v>0.04</v>
      </c>
      <c r="R85">
        <v>-0.7</v>
      </c>
      <c r="T85">
        <f t="shared" si="32"/>
        <v>0.17357832000000001</v>
      </c>
      <c r="U85">
        <f t="shared" si="33"/>
        <v>0.18000000000000002</v>
      </c>
      <c r="V85">
        <f t="shared" si="34"/>
        <v>-2.4E-2</v>
      </c>
      <c r="W85">
        <f t="shared" si="35"/>
        <v>8.0000000000000004E-4</v>
      </c>
      <c r="X85">
        <v>0.27</v>
      </c>
      <c r="Y85">
        <v>0.5</v>
      </c>
      <c r="Z85">
        <v>0.2</v>
      </c>
      <c r="AA85">
        <v>0</v>
      </c>
      <c r="AB85">
        <v>0.5</v>
      </c>
      <c r="AC85">
        <v>0.04</v>
      </c>
      <c r="AD85" s="1">
        <v>1.1000000000000001</v>
      </c>
      <c r="AE85" s="1">
        <v>-1</v>
      </c>
      <c r="AF85" s="1">
        <v>0.9</v>
      </c>
      <c r="AG85" s="1">
        <v>-0.8</v>
      </c>
      <c r="AH85" s="1">
        <v>0.5</v>
      </c>
      <c r="AI85" s="1">
        <v>-0.5</v>
      </c>
      <c r="AJ85" s="1">
        <v>0.5</v>
      </c>
      <c r="AK85" s="1">
        <v>-0.5</v>
      </c>
    </row>
    <row r="86" spans="1:37" x14ac:dyDescent="0.2">
      <c r="A86">
        <f t="shared" si="28"/>
        <v>0.30439462270000001</v>
      </c>
      <c r="B86">
        <f t="shared" si="29"/>
        <v>0.28525</v>
      </c>
      <c r="C86">
        <f t="shared" si="30"/>
        <v>6.9755000000000011E-2</v>
      </c>
      <c r="D86">
        <f t="shared" si="31"/>
        <v>4.2630000000000003E-3</v>
      </c>
      <c r="E86">
        <v>0.27</v>
      </c>
      <c r="F86">
        <v>0.5</v>
      </c>
      <c r="G86">
        <v>0.25</v>
      </c>
      <c r="H86">
        <v>0</v>
      </c>
      <c r="I86">
        <v>-0.5</v>
      </c>
      <c r="J86">
        <v>-7.0000000000000007E-2</v>
      </c>
      <c r="K86">
        <v>0.1</v>
      </c>
      <c r="L86">
        <v>-1.2</v>
      </c>
      <c r="M86">
        <v>7.0000000000000007E-2</v>
      </c>
      <c r="N86">
        <v>-1.1000000000000001</v>
      </c>
      <c r="O86">
        <v>0.04</v>
      </c>
      <c r="P86">
        <v>-0.7</v>
      </c>
      <c r="Q86">
        <v>0.04</v>
      </c>
      <c r="R86">
        <v>-0.7</v>
      </c>
      <c r="T86">
        <f t="shared" si="32"/>
        <v>0.18078423600000001</v>
      </c>
      <c r="U86">
        <f t="shared" si="33"/>
        <v>0.18750000000000003</v>
      </c>
      <c r="V86">
        <f t="shared" si="34"/>
        <v>-2.5100000000000004E-2</v>
      </c>
      <c r="W86">
        <f t="shared" si="35"/>
        <v>8.4000000000000003E-4</v>
      </c>
      <c r="X86">
        <v>0.27</v>
      </c>
      <c r="Y86">
        <v>0.5</v>
      </c>
      <c r="Z86">
        <v>0.25</v>
      </c>
      <c r="AA86">
        <v>0</v>
      </c>
      <c r="AB86">
        <v>0.5</v>
      </c>
      <c r="AC86">
        <v>0.04</v>
      </c>
      <c r="AD86" s="1">
        <v>1.1000000000000001</v>
      </c>
      <c r="AE86" s="1">
        <v>-1</v>
      </c>
      <c r="AF86" s="1">
        <v>0.9</v>
      </c>
      <c r="AG86" s="1">
        <v>-0.8</v>
      </c>
      <c r="AH86" s="1">
        <v>0.5</v>
      </c>
      <c r="AI86" s="1">
        <v>-0.5</v>
      </c>
      <c r="AJ86" s="1">
        <v>0.5</v>
      </c>
      <c r="AK86" s="1">
        <v>-0.5</v>
      </c>
    </row>
    <row r="87" spans="1:37" x14ac:dyDescent="0.2">
      <c r="A87">
        <f t="shared" si="28"/>
        <v>0.31896493551999999</v>
      </c>
      <c r="B87">
        <f t="shared" si="29"/>
        <v>0.2989</v>
      </c>
      <c r="C87">
        <f t="shared" si="30"/>
        <v>7.3108000000000006E-2</v>
      </c>
      <c r="D87">
        <f t="shared" si="31"/>
        <v>4.4688000000000002E-3</v>
      </c>
      <c r="E87">
        <v>0.27</v>
      </c>
      <c r="F87">
        <v>0.5</v>
      </c>
      <c r="G87">
        <v>0.3</v>
      </c>
      <c r="H87">
        <v>0</v>
      </c>
      <c r="I87">
        <v>-0.5</v>
      </c>
      <c r="J87">
        <v>-7.0000000000000007E-2</v>
      </c>
      <c r="K87">
        <v>0.1</v>
      </c>
      <c r="L87">
        <v>-1.2</v>
      </c>
      <c r="M87">
        <v>7.0000000000000007E-2</v>
      </c>
      <c r="N87">
        <v>-1.1000000000000001</v>
      </c>
      <c r="O87">
        <v>0.04</v>
      </c>
      <c r="P87">
        <v>-0.7</v>
      </c>
      <c r="Q87">
        <v>0.04</v>
      </c>
      <c r="R87">
        <v>-0.7</v>
      </c>
      <c r="T87">
        <f t="shared" si="32"/>
        <v>0.18799015200000005</v>
      </c>
      <c r="U87">
        <f t="shared" si="33"/>
        <v>0.19500000000000003</v>
      </c>
      <c r="V87">
        <f t="shared" si="34"/>
        <v>-2.6200000000000001E-2</v>
      </c>
      <c r="W87">
        <f t="shared" si="35"/>
        <v>8.7999999999999992E-4</v>
      </c>
      <c r="X87">
        <v>0.27</v>
      </c>
      <c r="Y87">
        <v>0.5</v>
      </c>
      <c r="Z87">
        <v>0.3</v>
      </c>
      <c r="AA87">
        <v>0</v>
      </c>
      <c r="AB87">
        <v>0.5</v>
      </c>
      <c r="AC87">
        <v>0.04</v>
      </c>
      <c r="AD87" s="1">
        <v>1.1000000000000001</v>
      </c>
      <c r="AE87" s="1">
        <v>-1</v>
      </c>
      <c r="AF87" s="1">
        <v>0.9</v>
      </c>
      <c r="AG87" s="1">
        <v>-0.8</v>
      </c>
      <c r="AH87" s="1">
        <v>0.5</v>
      </c>
      <c r="AI87" s="1">
        <v>-0.5</v>
      </c>
      <c r="AJ87" s="1">
        <v>0.5</v>
      </c>
      <c r="AK87" s="1">
        <v>-0.5</v>
      </c>
    </row>
    <row r="88" spans="1:37" x14ac:dyDescent="0.2">
      <c r="A88">
        <f t="shared" si="28"/>
        <v>0.33353524834000003</v>
      </c>
      <c r="B88">
        <f t="shared" si="29"/>
        <v>0.31254999999999999</v>
      </c>
      <c r="C88">
        <f t="shared" si="30"/>
        <v>7.6461000000000001E-2</v>
      </c>
      <c r="D88">
        <f t="shared" si="31"/>
        <v>4.674600000000001E-3</v>
      </c>
      <c r="E88">
        <v>0.27</v>
      </c>
      <c r="F88">
        <v>0.5</v>
      </c>
      <c r="G88">
        <v>0.35</v>
      </c>
      <c r="H88">
        <v>0</v>
      </c>
      <c r="I88">
        <v>-0.5</v>
      </c>
      <c r="J88">
        <v>-7.0000000000000007E-2</v>
      </c>
      <c r="K88">
        <v>0.1</v>
      </c>
      <c r="L88">
        <v>-1.2</v>
      </c>
      <c r="M88">
        <v>7.0000000000000007E-2</v>
      </c>
      <c r="N88">
        <v>-1.1000000000000001</v>
      </c>
      <c r="O88">
        <v>0.04</v>
      </c>
      <c r="P88">
        <v>-0.7</v>
      </c>
      <c r="Q88">
        <v>0.04</v>
      </c>
      <c r="R88">
        <v>-0.7</v>
      </c>
      <c r="T88">
        <f t="shared" si="32"/>
        <v>0.19519606800000006</v>
      </c>
      <c r="U88">
        <f t="shared" si="33"/>
        <v>0.20250000000000004</v>
      </c>
      <c r="V88">
        <f t="shared" si="34"/>
        <v>-2.7300000000000005E-2</v>
      </c>
      <c r="W88">
        <f t="shared" si="35"/>
        <v>9.2000000000000003E-4</v>
      </c>
      <c r="X88">
        <v>0.27</v>
      </c>
      <c r="Y88">
        <v>0.5</v>
      </c>
      <c r="Z88">
        <v>0.35</v>
      </c>
      <c r="AA88">
        <v>0</v>
      </c>
      <c r="AB88">
        <v>0.5</v>
      </c>
      <c r="AC88">
        <v>0.04</v>
      </c>
      <c r="AD88" s="1">
        <v>1.1000000000000001</v>
      </c>
      <c r="AE88" s="1">
        <v>-1</v>
      </c>
      <c r="AF88" s="1">
        <v>0.9</v>
      </c>
      <c r="AG88" s="1">
        <v>-0.8</v>
      </c>
      <c r="AH88" s="1">
        <v>0.5</v>
      </c>
      <c r="AI88" s="1">
        <v>-0.5</v>
      </c>
      <c r="AJ88" s="1">
        <v>0.5</v>
      </c>
      <c r="AK88" s="1">
        <v>-0.5</v>
      </c>
    </row>
    <row r="89" spans="1:37" x14ac:dyDescent="0.2">
      <c r="A89">
        <f t="shared" si="28"/>
        <v>0.34810556116000008</v>
      </c>
      <c r="B89">
        <f t="shared" si="29"/>
        <v>0.32620000000000005</v>
      </c>
      <c r="C89">
        <f t="shared" si="30"/>
        <v>7.981400000000001E-2</v>
      </c>
      <c r="D89">
        <f t="shared" si="31"/>
        <v>4.8804000000000018E-3</v>
      </c>
      <c r="E89">
        <v>0.27</v>
      </c>
      <c r="F89">
        <v>0.5</v>
      </c>
      <c r="G89">
        <v>0.4</v>
      </c>
      <c r="H89">
        <v>0</v>
      </c>
      <c r="I89">
        <v>-0.5</v>
      </c>
      <c r="J89">
        <v>-7.0000000000000007E-2</v>
      </c>
      <c r="K89">
        <v>0.1</v>
      </c>
      <c r="L89">
        <v>-1.2</v>
      </c>
      <c r="M89">
        <v>7.0000000000000007E-2</v>
      </c>
      <c r="N89">
        <v>-1.1000000000000001</v>
      </c>
      <c r="O89">
        <v>0.04</v>
      </c>
      <c r="P89">
        <v>-0.7</v>
      </c>
      <c r="Q89">
        <v>0.04</v>
      </c>
      <c r="R89">
        <v>-0.7</v>
      </c>
      <c r="T89">
        <f t="shared" si="32"/>
        <v>0.20240198400000001</v>
      </c>
      <c r="U89">
        <f t="shared" si="33"/>
        <v>0.21000000000000002</v>
      </c>
      <c r="V89">
        <f t="shared" si="34"/>
        <v>-2.8400000000000002E-2</v>
      </c>
      <c r="W89">
        <f t="shared" si="35"/>
        <v>9.6000000000000002E-4</v>
      </c>
      <c r="X89">
        <v>0.27</v>
      </c>
      <c r="Y89">
        <v>0.5</v>
      </c>
      <c r="Z89">
        <v>0.4</v>
      </c>
      <c r="AA89">
        <v>0</v>
      </c>
      <c r="AB89">
        <v>0.5</v>
      </c>
      <c r="AC89">
        <v>0.04</v>
      </c>
      <c r="AD89" s="1">
        <v>1.1000000000000001</v>
      </c>
      <c r="AE89" s="1">
        <v>-1</v>
      </c>
      <c r="AF89" s="1">
        <v>0.9</v>
      </c>
      <c r="AG89" s="1">
        <v>-0.8</v>
      </c>
      <c r="AH89" s="1">
        <v>0.5</v>
      </c>
      <c r="AI89" s="1">
        <v>-0.5</v>
      </c>
      <c r="AJ89" s="1">
        <v>0.5</v>
      </c>
      <c r="AK89" s="1">
        <v>-0.5</v>
      </c>
    </row>
    <row r="90" spans="1:37" x14ac:dyDescent="0.2">
      <c r="A90">
        <f t="shared" si="28"/>
        <v>0.36267587398000001</v>
      </c>
      <c r="B90">
        <f t="shared" si="29"/>
        <v>0.33984999999999999</v>
      </c>
      <c r="C90">
        <f t="shared" si="30"/>
        <v>8.3167000000000005E-2</v>
      </c>
      <c r="D90">
        <f t="shared" si="31"/>
        <v>5.0862000000000008E-3</v>
      </c>
      <c r="E90">
        <v>0.27</v>
      </c>
      <c r="F90">
        <v>0.5</v>
      </c>
      <c r="G90">
        <v>0.45</v>
      </c>
      <c r="H90">
        <v>0</v>
      </c>
      <c r="I90">
        <v>-0.5</v>
      </c>
      <c r="J90">
        <v>-7.0000000000000007E-2</v>
      </c>
      <c r="K90">
        <v>0.1</v>
      </c>
      <c r="L90">
        <v>-1.2</v>
      </c>
      <c r="M90">
        <v>7.0000000000000007E-2</v>
      </c>
      <c r="N90">
        <v>-1.1000000000000001</v>
      </c>
      <c r="O90">
        <v>0.04</v>
      </c>
      <c r="P90">
        <v>-0.7</v>
      </c>
      <c r="Q90">
        <v>0.04</v>
      </c>
      <c r="R90">
        <v>-0.7</v>
      </c>
      <c r="T90">
        <f t="shared" si="32"/>
        <v>0.20960790000000001</v>
      </c>
      <c r="U90">
        <f t="shared" si="33"/>
        <v>0.21750000000000003</v>
      </c>
      <c r="V90">
        <f t="shared" si="34"/>
        <v>-2.9500000000000002E-2</v>
      </c>
      <c r="W90">
        <f t="shared" si="35"/>
        <v>1E-3</v>
      </c>
      <c r="X90">
        <v>0.27</v>
      </c>
      <c r="Y90">
        <v>0.5</v>
      </c>
      <c r="Z90">
        <v>0.45</v>
      </c>
      <c r="AA90">
        <v>0</v>
      </c>
      <c r="AB90">
        <v>0.5</v>
      </c>
      <c r="AC90">
        <v>0.04</v>
      </c>
      <c r="AD90" s="1">
        <v>1.1000000000000001</v>
      </c>
      <c r="AE90" s="1">
        <v>-1</v>
      </c>
      <c r="AF90" s="1">
        <v>0.9</v>
      </c>
      <c r="AG90" s="1">
        <v>-0.8</v>
      </c>
      <c r="AH90" s="1">
        <v>0.5</v>
      </c>
      <c r="AI90" s="1">
        <v>-0.5</v>
      </c>
      <c r="AJ90" s="1">
        <v>0.5</v>
      </c>
      <c r="AK90" s="1">
        <v>-0.5</v>
      </c>
    </row>
    <row r="91" spans="1:37" x14ac:dyDescent="0.2">
      <c r="A91">
        <f t="shared" si="28"/>
        <v>0.37724618679999999</v>
      </c>
      <c r="B91">
        <f t="shared" si="29"/>
        <v>0.35349999999999998</v>
      </c>
      <c r="C91">
        <f t="shared" si="30"/>
        <v>8.6520000000000014E-2</v>
      </c>
      <c r="D91">
        <f t="shared" si="31"/>
        <v>5.2920000000000007E-3</v>
      </c>
      <c r="E91">
        <v>0.27</v>
      </c>
      <c r="F91">
        <v>0.5</v>
      </c>
      <c r="G91">
        <v>0.5</v>
      </c>
      <c r="H91">
        <v>0</v>
      </c>
      <c r="I91">
        <v>-0.5</v>
      </c>
      <c r="J91">
        <v>-7.0000000000000007E-2</v>
      </c>
      <c r="K91">
        <v>0.1</v>
      </c>
      <c r="L91">
        <v>-1.2</v>
      </c>
      <c r="M91">
        <v>7.0000000000000007E-2</v>
      </c>
      <c r="N91">
        <v>-1.1000000000000001</v>
      </c>
      <c r="O91">
        <v>0.04</v>
      </c>
      <c r="P91">
        <v>-0.7</v>
      </c>
      <c r="Q91">
        <v>0.04</v>
      </c>
      <c r="R91">
        <v>-0.7</v>
      </c>
      <c r="T91">
        <f t="shared" si="32"/>
        <v>0.21681381600000005</v>
      </c>
      <c r="U91">
        <f t="shared" si="33"/>
        <v>0.22500000000000003</v>
      </c>
      <c r="V91">
        <f t="shared" si="34"/>
        <v>-3.0600000000000002E-2</v>
      </c>
      <c r="W91">
        <f t="shared" si="35"/>
        <v>1.0400000000000001E-3</v>
      </c>
      <c r="X91">
        <v>0.27</v>
      </c>
      <c r="Y91">
        <v>0.5</v>
      </c>
      <c r="Z91">
        <v>0.5</v>
      </c>
      <c r="AA91">
        <v>0</v>
      </c>
      <c r="AB91">
        <v>0.5</v>
      </c>
      <c r="AC91">
        <v>0.04</v>
      </c>
      <c r="AD91" s="1">
        <v>1.1000000000000001</v>
      </c>
      <c r="AE91" s="1">
        <v>-1</v>
      </c>
      <c r="AF91" s="1">
        <v>0.9</v>
      </c>
      <c r="AG91" s="1">
        <v>-0.8</v>
      </c>
      <c r="AH91" s="1">
        <v>0.5</v>
      </c>
      <c r="AI91" s="1">
        <v>-0.5</v>
      </c>
      <c r="AJ91" s="1">
        <v>0.5</v>
      </c>
      <c r="AK91" s="1">
        <v>-0.5</v>
      </c>
    </row>
    <row r="92" spans="1:37" x14ac:dyDescent="0.2">
      <c r="A92">
        <f t="shared" si="28"/>
        <v>0.39181649962000004</v>
      </c>
      <c r="B92">
        <f t="shared" si="29"/>
        <v>0.36715000000000003</v>
      </c>
      <c r="C92">
        <f t="shared" si="30"/>
        <v>8.9873000000000008E-2</v>
      </c>
      <c r="D92">
        <f t="shared" si="31"/>
        <v>5.4978000000000006E-3</v>
      </c>
      <c r="E92">
        <v>0.27</v>
      </c>
      <c r="F92">
        <v>0.5</v>
      </c>
      <c r="G92">
        <v>0.55000000000000004</v>
      </c>
      <c r="H92">
        <v>0</v>
      </c>
      <c r="I92">
        <v>-0.5</v>
      </c>
      <c r="J92">
        <v>-7.0000000000000007E-2</v>
      </c>
      <c r="K92">
        <v>0.1</v>
      </c>
      <c r="L92">
        <v>-1.2</v>
      </c>
      <c r="M92">
        <v>7.0000000000000007E-2</v>
      </c>
      <c r="N92">
        <v>-1.1000000000000001</v>
      </c>
      <c r="O92">
        <v>0.04</v>
      </c>
      <c r="P92">
        <v>-0.7</v>
      </c>
      <c r="Q92">
        <v>0.04</v>
      </c>
      <c r="R92">
        <v>-0.7</v>
      </c>
      <c r="T92">
        <f t="shared" si="32"/>
        <v>0.22401973200000003</v>
      </c>
      <c r="U92">
        <f t="shared" si="33"/>
        <v>0.23250000000000004</v>
      </c>
      <c r="V92">
        <f t="shared" si="34"/>
        <v>-3.1700000000000006E-2</v>
      </c>
      <c r="W92">
        <f t="shared" si="35"/>
        <v>1.0800000000000002E-3</v>
      </c>
      <c r="X92">
        <v>0.27</v>
      </c>
      <c r="Y92">
        <v>0.5</v>
      </c>
      <c r="Z92">
        <v>0.55000000000000004</v>
      </c>
      <c r="AA92">
        <v>0</v>
      </c>
      <c r="AB92">
        <v>0.5</v>
      </c>
      <c r="AC92">
        <v>0.04</v>
      </c>
      <c r="AD92" s="1">
        <v>1.1000000000000001</v>
      </c>
      <c r="AE92" s="1">
        <v>-1</v>
      </c>
      <c r="AF92" s="1">
        <v>0.9</v>
      </c>
      <c r="AG92" s="1">
        <v>-0.8</v>
      </c>
      <c r="AH92" s="1">
        <v>0.5</v>
      </c>
      <c r="AI92" s="1">
        <v>-0.5</v>
      </c>
      <c r="AJ92" s="1">
        <v>0.5</v>
      </c>
      <c r="AK92" s="1">
        <v>-0.5</v>
      </c>
    </row>
    <row r="93" spans="1:37" x14ac:dyDescent="0.2">
      <c r="A93">
        <f t="shared" si="28"/>
        <v>0.40638681244000002</v>
      </c>
      <c r="B93">
        <f t="shared" si="29"/>
        <v>0.38080000000000003</v>
      </c>
      <c r="C93">
        <f t="shared" si="30"/>
        <v>9.3226000000000003E-2</v>
      </c>
      <c r="D93">
        <f t="shared" si="31"/>
        <v>5.7036000000000005E-3</v>
      </c>
      <c r="E93">
        <v>0.27</v>
      </c>
      <c r="F93">
        <v>0.5</v>
      </c>
      <c r="G93">
        <v>0.6</v>
      </c>
      <c r="H93">
        <v>0</v>
      </c>
      <c r="I93">
        <v>-0.5</v>
      </c>
      <c r="J93">
        <v>-7.0000000000000007E-2</v>
      </c>
      <c r="K93">
        <v>0.1</v>
      </c>
      <c r="L93">
        <v>-1.2</v>
      </c>
      <c r="M93">
        <v>7.0000000000000007E-2</v>
      </c>
      <c r="N93">
        <v>-1.1000000000000001</v>
      </c>
      <c r="O93">
        <v>0.04</v>
      </c>
      <c r="P93">
        <v>-0.7</v>
      </c>
      <c r="Q93">
        <v>0.04</v>
      </c>
      <c r="R93">
        <v>-0.7</v>
      </c>
      <c r="T93">
        <f t="shared" si="32"/>
        <v>0.23122564800000003</v>
      </c>
      <c r="U93">
        <f t="shared" si="33"/>
        <v>0.24000000000000005</v>
      </c>
      <c r="V93">
        <f t="shared" si="34"/>
        <v>-3.2800000000000003E-2</v>
      </c>
      <c r="W93">
        <f t="shared" si="35"/>
        <v>1.1200000000000001E-3</v>
      </c>
      <c r="X93">
        <v>0.27</v>
      </c>
      <c r="Y93">
        <v>0.5</v>
      </c>
      <c r="Z93">
        <v>0.6</v>
      </c>
      <c r="AA93">
        <v>0</v>
      </c>
      <c r="AB93">
        <v>0.5</v>
      </c>
      <c r="AC93">
        <v>0.04</v>
      </c>
      <c r="AD93" s="1">
        <v>1.1000000000000001</v>
      </c>
      <c r="AE93" s="1">
        <v>-1</v>
      </c>
      <c r="AF93" s="1">
        <v>0.9</v>
      </c>
      <c r="AG93" s="1">
        <v>-0.8</v>
      </c>
      <c r="AH93" s="1">
        <v>0.5</v>
      </c>
      <c r="AI93" s="1">
        <v>-0.5</v>
      </c>
      <c r="AJ93" s="1">
        <v>0.5</v>
      </c>
      <c r="AK93" s="1">
        <v>-0.5</v>
      </c>
    </row>
    <row r="94" spans="1:37" x14ac:dyDescent="0.2">
      <c r="A94">
        <f t="shared" si="28"/>
        <v>0.42095712526000006</v>
      </c>
      <c r="B94">
        <f t="shared" si="29"/>
        <v>0.39445000000000008</v>
      </c>
      <c r="C94">
        <f t="shared" si="30"/>
        <v>9.6579000000000026E-2</v>
      </c>
      <c r="D94">
        <f t="shared" si="31"/>
        <v>5.9094000000000013E-3</v>
      </c>
      <c r="E94">
        <v>0.27</v>
      </c>
      <c r="F94">
        <v>0.5</v>
      </c>
      <c r="G94">
        <v>0.65</v>
      </c>
      <c r="H94">
        <v>0</v>
      </c>
      <c r="I94">
        <v>-0.5</v>
      </c>
      <c r="J94">
        <v>-7.0000000000000007E-2</v>
      </c>
      <c r="K94">
        <v>0.1</v>
      </c>
      <c r="L94">
        <v>-1.2</v>
      </c>
      <c r="M94">
        <v>7.0000000000000007E-2</v>
      </c>
      <c r="N94">
        <v>-1.1000000000000001</v>
      </c>
      <c r="O94">
        <v>0.04</v>
      </c>
      <c r="P94">
        <v>-0.7</v>
      </c>
      <c r="Q94">
        <v>0.04</v>
      </c>
      <c r="R94">
        <v>-0.7</v>
      </c>
      <c r="T94">
        <f t="shared" si="32"/>
        <v>0.23843156400000004</v>
      </c>
      <c r="U94">
        <f t="shared" si="33"/>
        <v>0.24750000000000003</v>
      </c>
      <c r="V94">
        <f t="shared" si="34"/>
        <v>-3.39E-2</v>
      </c>
      <c r="W94">
        <f t="shared" si="35"/>
        <v>1.16E-3</v>
      </c>
      <c r="X94">
        <v>0.27</v>
      </c>
      <c r="Y94">
        <v>0.5</v>
      </c>
      <c r="Z94">
        <v>0.65</v>
      </c>
      <c r="AA94">
        <v>0</v>
      </c>
      <c r="AB94">
        <v>0.5</v>
      </c>
      <c r="AC94">
        <v>0.04</v>
      </c>
      <c r="AD94" s="1">
        <v>1.1000000000000001</v>
      </c>
      <c r="AE94" s="1">
        <v>-1</v>
      </c>
      <c r="AF94" s="1">
        <v>0.9</v>
      </c>
      <c r="AG94" s="1">
        <v>-0.8</v>
      </c>
      <c r="AH94" s="1">
        <v>0.5</v>
      </c>
      <c r="AI94" s="1">
        <v>-0.5</v>
      </c>
      <c r="AJ94" s="1">
        <v>0.5</v>
      </c>
      <c r="AK94" s="1">
        <v>-0.5</v>
      </c>
    </row>
    <row r="95" spans="1:37" x14ac:dyDescent="0.2">
      <c r="A95">
        <f t="shared" si="28"/>
        <v>0.43552743807999994</v>
      </c>
      <c r="B95">
        <f t="shared" si="29"/>
        <v>0.40809999999999996</v>
      </c>
      <c r="C95">
        <f t="shared" si="30"/>
        <v>9.9931999999999993E-2</v>
      </c>
      <c r="D95">
        <f t="shared" si="31"/>
        <v>6.1152000000000003E-3</v>
      </c>
      <c r="E95">
        <v>0.27</v>
      </c>
      <c r="F95">
        <v>0.5</v>
      </c>
      <c r="G95">
        <v>0.7</v>
      </c>
      <c r="H95">
        <v>0</v>
      </c>
      <c r="I95">
        <v>-0.5</v>
      </c>
      <c r="J95">
        <v>-7.0000000000000007E-2</v>
      </c>
      <c r="K95">
        <v>0.1</v>
      </c>
      <c r="L95">
        <v>-1.2</v>
      </c>
      <c r="M95">
        <v>7.0000000000000007E-2</v>
      </c>
      <c r="N95">
        <v>-1.1000000000000001</v>
      </c>
      <c r="O95">
        <v>0.04</v>
      </c>
      <c r="P95">
        <v>-0.7</v>
      </c>
      <c r="Q95">
        <v>0.04</v>
      </c>
      <c r="R95">
        <v>-0.7</v>
      </c>
      <c r="T95">
        <f t="shared" si="32"/>
        <v>0.24563747999999999</v>
      </c>
      <c r="U95">
        <f t="shared" si="33"/>
        <v>0.255</v>
      </c>
      <c r="V95">
        <f t="shared" si="34"/>
        <v>-3.5000000000000003E-2</v>
      </c>
      <c r="W95">
        <f t="shared" si="35"/>
        <v>1.1999999999999999E-3</v>
      </c>
      <c r="X95">
        <v>0.27</v>
      </c>
      <c r="Y95">
        <v>0.5</v>
      </c>
      <c r="Z95">
        <v>0.7</v>
      </c>
      <c r="AA95">
        <v>0</v>
      </c>
      <c r="AB95">
        <v>0.5</v>
      </c>
      <c r="AC95">
        <v>0.04</v>
      </c>
      <c r="AD95" s="1">
        <v>1.1000000000000001</v>
      </c>
      <c r="AE95" s="1">
        <v>-1</v>
      </c>
      <c r="AF95" s="1">
        <v>0.9</v>
      </c>
      <c r="AG95" s="1">
        <v>-0.8</v>
      </c>
      <c r="AH95" s="1">
        <v>0.5</v>
      </c>
      <c r="AI95" s="1">
        <v>-0.5</v>
      </c>
      <c r="AJ95" s="1">
        <v>0.5</v>
      </c>
      <c r="AK95" s="1">
        <v>-0.5</v>
      </c>
    </row>
    <row r="96" spans="1:37" x14ac:dyDescent="0.2">
      <c r="A96">
        <f t="shared" si="28"/>
        <v>0.45009775090000004</v>
      </c>
      <c r="B96">
        <f t="shared" si="29"/>
        <v>0.42175000000000001</v>
      </c>
      <c r="C96">
        <f t="shared" si="30"/>
        <v>0.10328500000000002</v>
      </c>
      <c r="D96">
        <f t="shared" si="31"/>
        <v>6.3210000000000011E-3</v>
      </c>
      <c r="E96">
        <v>0.27</v>
      </c>
      <c r="F96">
        <v>0.5</v>
      </c>
      <c r="G96">
        <v>0.75</v>
      </c>
      <c r="H96">
        <v>0</v>
      </c>
      <c r="I96">
        <v>-0.5</v>
      </c>
      <c r="J96">
        <v>-7.0000000000000007E-2</v>
      </c>
      <c r="K96">
        <v>0.1</v>
      </c>
      <c r="L96">
        <v>-1.2</v>
      </c>
      <c r="M96">
        <v>7.0000000000000007E-2</v>
      </c>
      <c r="N96">
        <v>-1.1000000000000001</v>
      </c>
      <c r="O96">
        <v>0.04</v>
      </c>
      <c r="P96">
        <v>-0.7</v>
      </c>
      <c r="Q96">
        <v>0.04</v>
      </c>
      <c r="R96">
        <v>-0.7</v>
      </c>
      <c r="T96">
        <f t="shared" si="32"/>
        <v>0.25284339600000005</v>
      </c>
      <c r="U96">
        <f t="shared" si="33"/>
        <v>0.26250000000000007</v>
      </c>
      <c r="V96">
        <f t="shared" si="34"/>
        <v>-3.6100000000000007E-2</v>
      </c>
      <c r="W96">
        <f t="shared" si="35"/>
        <v>1.24E-3</v>
      </c>
      <c r="X96">
        <v>0.27</v>
      </c>
      <c r="Y96">
        <v>0.5</v>
      </c>
      <c r="Z96">
        <v>0.75</v>
      </c>
      <c r="AA96">
        <v>0</v>
      </c>
      <c r="AB96">
        <v>0.5</v>
      </c>
      <c r="AC96">
        <v>0.04</v>
      </c>
      <c r="AD96" s="1">
        <v>1.1000000000000001</v>
      </c>
      <c r="AE96" s="1">
        <v>-1</v>
      </c>
      <c r="AF96" s="1">
        <v>0.9</v>
      </c>
      <c r="AG96" s="1">
        <v>-0.8</v>
      </c>
      <c r="AH96" s="1">
        <v>0.5</v>
      </c>
      <c r="AI96" s="1">
        <v>-0.5</v>
      </c>
      <c r="AJ96" s="1">
        <v>0.5</v>
      </c>
      <c r="AK96" s="1">
        <v>-0.5</v>
      </c>
    </row>
    <row r="97" spans="1:37" x14ac:dyDescent="0.2">
      <c r="A97">
        <f t="shared" si="28"/>
        <v>0.46466806372000008</v>
      </c>
      <c r="B97">
        <f t="shared" si="29"/>
        <v>0.43540000000000006</v>
      </c>
      <c r="C97">
        <f t="shared" si="30"/>
        <v>0.10663800000000001</v>
      </c>
      <c r="D97">
        <f t="shared" si="31"/>
        <v>6.5268000000000019E-3</v>
      </c>
      <c r="E97">
        <v>0.27</v>
      </c>
      <c r="F97">
        <v>0.5</v>
      </c>
      <c r="G97">
        <v>0.8</v>
      </c>
      <c r="H97">
        <v>0</v>
      </c>
      <c r="I97">
        <v>-0.5</v>
      </c>
      <c r="J97">
        <v>-7.0000000000000007E-2</v>
      </c>
      <c r="K97">
        <v>0.1</v>
      </c>
      <c r="L97">
        <v>-1.2</v>
      </c>
      <c r="M97">
        <v>7.0000000000000007E-2</v>
      </c>
      <c r="N97">
        <v>-1.1000000000000001</v>
      </c>
      <c r="O97">
        <v>0.04</v>
      </c>
      <c r="P97">
        <v>-0.7</v>
      </c>
      <c r="Q97">
        <v>0.04</v>
      </c>
      <c r="R97">
        <v>-0.7</v>
      </c>
      <c r="T97">
        <f t="shared" si="32"/>
        <v>0.26004931200000009</v>
      </c>
      <c r="U97">
        <f t="shared" si="33"/>
        <v>0.27000000000000007</v>
      </c>
      <c r="V97">
        <f t="shared" si="34"/>
        <v>-3.7200000000000004E-2</v>
      </c>
      <c r="W97">
        <f t="shared" si="35"/>
        <v>1.2800000000000001E-3</v>
      </c>
      <c r="X97">
        <v>0.27</v>
      </c>
      <c r="Y97">
        <v>0.5</v>
      </c>
      <c r="Z97">
        <v>0.8</v>
      </c>
      <c r="AA97">
        <v>0</v>
      </c>
      <c r="AB97">
        <v>0.5</v>
      </c>
      <c r="AC97">
        <v>0.04</v>
      </c>
      <c r="AD97" s="1">
        <v>1.1000000000000001</v>
      </c>
      <c r="AE97" s="1">
        <v>-1</v>
      </c>
      <c r="AF97" s="1">
        <v>0.9</v>
      </c>
      <c r="AG97" s="1">
        <v>-0.8</v>
      </c>
      <c r="AH97" s="1">
        <v>0.5</v>
      </c>
      <c r="AI97" s="1">
        <v>-0.5</v>
      </c>
      <c r="AJ97" s="1">
        <v>0.5</v>
      </c>
      <c r="AK97" s="1">
        <v>-0.5</v>
      </c>
    </row>
    <row r="98" spans="1:37" x14ac:dyDescent="0.2">
      <c r="A98">
        <f t="shared" si="28"/>
        <v>0.47923837653999996</v>
      </c>
      <c r="B98">
        <f t="shared" si="29"/>
        <v>0.44904999999999995</v>
      </c>
      <c r="C98">
        <f t="shared" si="30"/>
        <v>0.10999100000000001</v>
      </c>
      <c r="D98">
        <f t="shared" si="31"/>
        <v>6.7326E-3</v>
      </c>
      <c r="E98">
        <v>0.27</v>
      </c>
      <c r="F98">
        <v>0.5</v>
      </c>
      <c r="G98">
        <v>0.85</v>
      </c>
      <c r="H98">
        <v>0</v>
      </c>
      <c r="I98">
        <v>-0.5</v>
      </c>
      <c r="J98">
        <v>-7.0000000000000007E-2</v>
      </c>
      <c r="K98">
        <v>0.1</v>
      </c>
      <c r="L98">
        <v>-1.2</v>
      </c>
      <c r="M98">
        <v>7.0000000000000007E-2</v>
      </c>
      <c r="N98">
        <v>-1.1000000000000001</v>
      </c>
      <c r="O98">
        <v>0.04</v>
      </c>
      <c r="P98">
        <v>-0.7</v>
      </c>
      <c r="Q98">
        <v>0.04</v>
      </c>
      <c r="R98">
        <v>-0.7</v>
      </c>
      <c r="T98">
        <f t="shared" si="32"/>
        <v>0.26725522800000007</v>
      </c>
      <c r="U98">
        <f t="shared" si="33"/>
        <v>0.27750000000000008</v>
      </c>
      <c r="V98">
        <f t="shared" si="34"/>
        <v>-3.8300000000000008E-2</v>
      </c>
      <c r="W98">
        <f t="shared" si="35"/>
        <v>1.32E-3</v>
      </c>
      <c r="X98">
        <v>0.27</v>
      </c>
      <c r="Y98">
        <v>0.5</v>
      </c>
      <c r="Z98">
        <v>0.85</v>
      </c>
      <c r="AA98">
        <v>0</v>
      </c>
      <c r="AB98">
        <v>0.5</v>
      </c>
      <c r="AC98">
        <v>0.04</v>
      </c>
      <c r="AD98" s="1">
        <v>1.1000000000000001</v>
      </c>
      <c r="AE98" s="1">
        <v>-1</v>
      </c>
      <c r="AF98" s="1">
        <v>0.9</v>
      </c>
      <c r="AG98" s="1">
        <v>-0.8</v>
      </c>
      <c r="AH98" s="1">
        <v>0.5</v>
      </c>
      <c r="AI98" s="1">
        <v>-0.5</v>
      </c>
      <c r="AJ98" s="1">
        <v>0.5</v>
      </c>
      <c r="AK98" s="1">
        <v>-0.5</v>
      </c>
    </row>
    <row r="99" spans="1:37" x14ac:dyDescent="0.2">
      <c r="A99">
        <f t="shared" si="28"/>
        <v>0.49380868936</v>
      </c>
      <c r="B99">
        <f t="shared" si="29"/>
        <v>0.4627</v>
      </c>
      <c r="C99">
        <f t="shared" si="30"/>
        <v>0.113344</v>
      </c>
      <c r="D99">
        <f t="shared" si="31"/>
        <v>6.9384000000000008E-3</v>
      </c>
      <c r="E99">
        <v>0.27</v>
      </c>
      <c r="F99">
        <v>0.5</v>
      </c>
      <c r="G99">
        <v>0.9</v>
      </c>
      <c r="H99">
        <v>0</v>
      </c>
      <c r="I99">
        <v>-0.5</v>
      </c>
      <c r="J99">
        <v>-7.0000000000000007E-2</v>
      </c>
      <c r="K99">
        <v>0.1</v>
      </c>
      <c r="L99">
        <v>-1.2</v>
      </c>
      <c r="M99">
        <v>7.0000000000000007E-2</v>
      </c>
      <c r="N99">
        <v>-1.1000000000000001</v>
      </c>
      <c r="O99">
        <v>0.04</v>
      </c>
      <c r="P99">
        <v>-0.7</v>
      </c>
      <c r="Q99">
        <v>0.04</v>
      </c>
      <c r="R99">
        <v>-0.7</v>
      </c>
      <c r="T99">
        <f t="shared" si="32"/>
        <v>0.27446114400000005</v>
      </c>
      <c r="U99">
        <f t="shared" si="33"/>
        <v>0.28500000000000003</v>
      </c>
      <c r="V99">
        <f t="shared" si="34"/>
        <v>-3.9400000000000004E-2</v>
      </c>
      <c r="W99">
        <f t="shared" si="35"/>
        <v>1.3600000000000001E-3</v>
      </c>
      <c r="X99">
        <v>0.27</v>
      </c>
      <c r="Y99">
        <v>0.5</v>
      </c>
      <c r="Z99">
        <v>0.9</v>
      </c>
      <c r="AA99">
        <v>0</v>
      </c>
      <c r="AB99">
        <v>0.5</v>
      </c>
      <c r="AC99">
        <v>0.04</v>
      </c>
      <c r="AD99" s="1">
        <v>1.1000000000000001</v>
      </c>
      <c r="AE99" s="1">
        <v>-1</v>
      </c>
      <c r="AF99" s="1">
        <v>0.9</v>
      </c>
      <c r="AG99" s="1">
        <v>-0.8</v>
      </c>
      <c r="AH99" s="1">
        <v>0.5</v>
      </c>
      <c r="AI99" s="1">
        <v>-0.5</v>
      </c>
      <c r="AJ99" s="1">
        <v>0.5</v>
      </c>
      <c r="AK99" s="1">
        <v>-0.5</v>
      </c>
    </row>
    <row r="100" spans="1:37" x14ac:dyDescent="0.2">
      <c r="A100">
        <f t="shared" si="28"/>
        <v>0.50837900217999998</v>
      </c>
      <c r="B100">
        <f t="shared" si="29"/>
        <v>0.47634999999999994</v>
      </c>
      <c r="C100">
        <f t="shared" si="30"/>
        <v>0.11669700000000001</v>
      </c>
      <c r="D100">
        <f t="shared" si="31"/>
        <v>7.1442000000000016E-3</v>
      </c>
      <c r="E100">
        <v>0.27</v>
      </c>
      <c r="F100">
        <v>0.5</v>
      </c>
      <c r="G100">
        <v>0.95</v>
      </c>
      <c r="H100">
        <v>0</v>
      </c>
      <c r="I100">
        <v>-0.5</v>
      </c>
      <c r="J100">
        <v>-7.0000000000000007E-2</v>
      </c>
      <c r="K100">
        <v>0.1</v>
      </c>
      <c r="L100">
        <v>-1.2</v>
      </c>
      <c r="M100">
        <v>7.0000000000000007E-2</v>
      </c>
      <c r="N100">
        <v>-1.1000000000000001</v>
      </c>
      <c r="O100">
        <v>0.04</v>
      </c>
      <c r="P100">
        <v>-0.7</v>
      </c>
      <c r="Q100">
        <v>0.04</v>
      </c>
      <c r="R100">
        <v>-0.7</v>
      </c>
      <c r="T100">
        <f t="shared" si="32"/>
        <v>0.28166706000000002</v>
      </c>
      <c r="U100">
        <f t="shared" si="33"/>
        <v>0.29250000000000004</v>
      </c>
      <c r="V100">
        <f t="shared" si="34"/>
        <v>-4.0500000000000008E-2</v>
      </c>
      <c r="W100">
        <f t="shared" si="35"/>
        <v>1.4000000000000002E-3</v>
      </c>
      <c r="X100">
        <v>0.27</v>
      </c>
      <c r="Y100">
        <v>0.5</v>
      </c>
      <c r="Z100">
        <v>0.95</v>
      </c>
      <c r="AA100">
        <v>0</v>
      </c>
      <c r="AB100">
        <v>0.5</v>
      </c>
      <c r="AC100">
        <v>0.04</v>
      </c>
      <c r="AD100" s="1">
        <v>1.1000000000000001</v>
      </c>
      <c r="AE100" s="1">
        <v>-1</v>
      </c>
      <c r="AF100" s="1">
        <v>0.9</v>
      </c>
      <c r="AG100" s="1">
        <v>-0.8</v>
      </c>
      <c r="AH100" s="1">
        <v>0.5</v>
      </c>
      <c r="AI100" s="1">
        <v>-0.5</v>
      </c>
      <c r="AJ100" s="1">
        <v>0.5</v>
      </c>
      <c r="AK100" s="1">
        <v>-0.5</v>
      </c>
    </row>
    <row r="101" spans="1:37" x14ac:dyDescent="0.2">
      <c r="A101">
        <f t="shared" si="28"/>
        <v>0.52294931499999997</v>
      </c>
      <c r="B101">
        <f t="shared" si="29"/>
        <v>0.48999999999999994</v>
      </c>
      <c r="C101">
        <f t="shared" si="30"/>
        <v>0.12005</v>
      </c>
      <c r="D101">
        <f t="shared" si="31"/>
        <v>7.3500000000000015E-3</v>
      </c>
      <c r="E101">
        <v>0.27</v>
      </c>
      <c r="F101">
        <v>0.5</v>
      </c>
      <c r="G101">
        <v>1</v>
      </c>
      <c r="H101">
        <v>0</v>
      </c>
      <c r="I101">
        <v>-0.5</v>
      </c>
      <c r="J101">
        <v>-7.0000000000000007E-2</v>
      </c>
      <c r="K101">
        <v>0.1</v>
      </c>
      <c r="L101">
        <v>-1.2</v>
      </c>
      <c r="M101">
        <v>7.0000000000000007E-2</v>
      </c>
      <c r="N101">
        <v>-1.1000000000000001</v>
      </c>
      <c r="O101">
        <v>0.04</v>
      </c>
      <c r="P101">
        <v>-0.7</v>
      </c>
      <c r="Q101">
        <v>0.04</v>
      </c>
      <c r="R101">
        <v>-0.7</v>
      </c>
      <c r="T101">
        <f t="shared" si="32"/>
        <v>0.288872976</v>
      </c>
      <c r="U101">
        <f t="shared" si="33"/>
        <v>0.30000000000000004</v>
      </c>
      <c r="V101">
        <f t="shared" si="34"/>
        <v>-4.1600000000000005E-2</v>
      </c>
      <c r="W101">
        <f t="shared" si="35"/>
        <v>1.4400000000000001E-3</v>
      </c>
      <c r="X101">
        <v>0.27</v>
      </c>
      <c r="Y101">
        <v>0.5</v>
      </c>
      <c r="Z101">
        <v>1</v>
      </c>
      <c r="AA101">
        <v>0</v>
      </c>
      <c r="AB101">
        <v>0.5</v>
      </c>
      <c r="AC101">
        <v>0.04</v>
      </c>
      <c r="AD101" s="1">
        <v>1.1000000000000001</v>
      </c>
      <c r="AE101" s="1">
        <v>-1</v>
      </c>
      <c r="AF101" s="1">
        <v>0.9</v>
      </c>
      <c r="AG101" s="1">
        <v>-0.8</v>
      </c>
      <c r="AH101" s="1">
        <v>0.5</v>
      </c>
      <c r="AI101" s="1">
        <v>-0.5</v>
      </c>
      <c r="AJ101" s="1">
        <v>0.5</v>
      </c>
      <c r="AK101" s="1">
        <v>-0.5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BFF3-1000-5C4A-9BF3-D4E0BB8D27B0}">
  <dimension ref="A1:Y12"/>
  <sheetViews>
    <sheetView zoomScale="109" workbookViewId="0">
      <selection activeCell="F29" sqref="F29"/>
    </sheetView>
  </sheetViews>
  <sheetFormatPr baseColWidth="10" defaultRowHeight="16" x14ac:dyDescent="0.2"/>
  <sheetData>
    <row r="1" spans="1:25" x14ac:dyDescent="0.2">
      <c r="A1" t="s">
        <v>4</v>
      </c>
    </row>
    <row r="2" spans="1:25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26</v>
      </c>
      <c r="L2" t="s">
        <v>27</v>
      </c>
      <c r="M2" t="s">
        <v>28</v>
      </c>
      <c r="N2" t="s">
        <v>32</v>
      </c>
      <c r="O2" t="s">
        <v>29</v>
      </c>
      <c r="P2" t="s">
        <v>30</v>
      </c>
      <c r="Q2" t="s">
        <v>31</v>
      </c>
      <c r="R2" t="s">
        <v>33</v>
      </c>
      <c r="S2" t="s">
        <v>63</v>
      </c>
      <c r="T2" t="s">
        <v>64</v>
      </c>
      <c r="U2" t="s">
        <v>65</v>
      </c>
      <c r="V2" t="s">
        <v>66</v>
      </c>
      <c r="W2" t="s">
        <v>60</v>
      </c>
      <c r="X2" t="s">
        <v>61</v>
      </c>
      <c r="Y2" t="s">
        <v>62</v>
      </c>
    </row>
    <row r="3" spans="1:25" x14ac:dyDescent="0.2">
      <c r="A3">
        <v>0.1</v>
      </c>
      <c r="B3">
        <v>7.0000000000000007E-2</v>
      </c>
      <c r="C3">
        <v>0.03</v>
      </c>
      <c r="D3">
        <v>0.04</v>
      </c>
      <c r="E3">
        <v>-1.2</v>
      </c>
      <c r="F3">
        <v>-1.1000000000000001</v>
      </c>
      <c r="G3">
        <v>-0.6</v>
      </c>
      <c r="H3">
        <v>-0.7</v>
      </c>
      <c r="I3">
        <v>-0.5</v>
      </c>
      <c r="J3">
        <v>-7.0000000000000007E-2</v>
      </c>
      <c r="K3">
        <f>A3+E3*I3</f>
        <v>0.7</v>
      </c>
      <c r="L3">
        <f>B3+F3*I3</f>
        <v>0.62000000000000011</v>
      </c>
      <c r="M3">
        <f>C3+G3*I3</f>
        <v>0.32999999999999996</v>
      </c>
      <c r="N3">
        <f>D3+H3*I3</f>
        <v>0.38999999999999996</v>
      </c>
      <c r="O3">
        <f>E3*J3</f>
        <v>8.4000000000000005E-2</v>
      </c>
      <c r="P3">
        <f>F3*J3</f>
        <v>7.7000000000000013E-2</v>
      </c>
      <c r="Q3">
        <f>G3*J3</f>
        <v>4.2000000000000003E-2</v>
      </c>
      <c r="R3">
        <f>H3*J3</f>
        <v>4.9000000000000002E-2</v>
      </c>
      <c r="S3">
        <v>1</v>
      </c>
      <c r="T3">
        <v>1</v>
      </c>
      <c r="U3">
        <f>IF(T3&gt;0, L3*S3+M3*ABS(T3),L3*S3+N3*ABS(T3))</f>
        <v>0.95000000000000007</v>
      </c>
      <c r="V3">
        <f>IF(T3&gt;0, P3*S3+Q3*ABS(T3),P3*S3+R3*ABS(T3))</f>
        <v>0.11900000000000002</v>
      </c>
      <c r="W3">
        <f>K3*U3</f>
        <v>0.66500000000000004</v>
      </c>
      <c r="X3">
        <f>K3*V3+U3*O3</f>
        <v>0.16310000000000002</v>
      </c>
      <c r="Y3">
        <f>O3*V3</f>
        <v>9.9960000000000031E-3</v>
      </c>
    </row>
    <row r="4" spans="1:25" x14ac:dyDescent="0.2">
      <c r="A4">
        <v>0.1</v>
      </c>
      <c r="B4">
        <v>7.0000000000000007E-2</v>
      </c>
      <c r="C4">
        <v>0.03</v>
      </c>
      <c r="D4">
        <v>0.04</v>
      </c>
      <c r="E4">
        <v>-1.2</v>
      </c>
      <c r="F4">
        <v>-1.1000000000000001</v>
      </c>
      <c r="G4">
        <v>-0.6</v>
      </c>
      <c r="H4">
        <v>-0.7</v>
      </c>
      <c r="I4">
        <v>-0.5</v>
      </c>
      <c r="J4">
        <v>-7.0000000000000007E-2</v>
      </c>
      <c r="K4">
        <f>A4+E4*I4</f>
        <v>0.7</v>
      </c>
      <c r="L4">
        <f>B4+F4*I4</f>
        <v>0.62000000000000011</v>
      </c>
      <c r="M4">
        <f>C4+G4*I4</f>
        <v>0.32999999999999996</v>
      </c>
      <c r="N4">
        <f>D4+H4*I4</f>
        <v>0.38999999999999996</v>
      </c>
      <c r="O4">
        <f>E4*J4</f>
        <v>8.4000000000000005E-2</v>
      </c>
      <c r="P4">
        <f>F4*J4</f>
        <v>7.7000000000000013E-2</v>
      </c>
      <c r="Q4">
        <f>G4*J4</f>
        <v>4.2000000000000003E-2</v>
      </c>
      <c r="R4">
        <f>H4*J4</f>
        <v>4.9000000000000002E-2</v>
      </c>
      <c r="S4">
        <v>1</v>
      </c>
      <c r="T4">
        <v>-1</v>
      </c>
      <c r="U4">
        <f>IF(T4&gt;0, L4*S4+M4*ABS(T4),L4*S4+N4*ABS(T4))</f>
        <v>1.01</v>
      </c>
      <c r="V4">
        <f>IF(T4&gt;0, P4*S4+Q4*ABS(T4),P4*S4+R4*ABS(T4))</f>
        <v>0.126</v>
      </c>
      <c r="W4">
        <f>K4*U4</f>
        <v>0.70699999999999996</v>
      </c>
      <c r="X4">
        <f>K4*V4+U4*O4</f>
        <v>0.17304000000000003</v>
      </c>
      <c r="Y4">
        <f>O4*V4</f>
        <v>1.0584000000000001E-2</v>
      </c>
    </row>
    <row r="5" spans="1:25" x14ac:dyDescent="0.2">
      <c r="A5" t="s">
        <v>0</v>
      </c>
    </row>
    <row r="6" spans="1:25" x14ac:dyDescent="0.2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  <c r="Q6" t="s">
        <v>40</v>
      </c>
      <c r="R6" t="s">
        <v>41</v>
      </c>
      <c r="S6" t="s">
        <v>63</v>
      </c>
      <c r="T6" t="s">
        <v>64</v>
      </c>
      <c r="U6" t="s">
        <v>65</v>
      </c>
      <c r="V6" t="s">
        <v>66</v>
      </c>
      <c r="W6" t="s">
        <v>60</v>
      </c>
      <c r="X6" t="s">
        <v>61</v>
      </c>
      <c r="Y6" t="s">
        <v>62</v>
      </c>
    </row>
    <row r="7" spans="1:25" x14ac:dyDescent="0.2">
      <c r="A7">
        <v>1.1000000000000001</v>
      </c>
      <c r="B7">
        <v>0.9</v>
      </c>
      <c r="C7">
        <v>0.46</v>
      </c>
      <c r="D7">
        <v>0.5</v>
      </c>
      <c r="E7">
        <v>-1.05</v>
      </c>
      <c r="F7">
        <v>-0.87</v>
      </c>
      <c r="G7">
        <v>-0.45</v>
      </c>
      <c r="H7">
        <v>-0.48</v>
      </c>
      <c r="I7">
        <v>0.5</v>
      </c>
      <c r="J7">
        <v>0.04</v>
      </c>
      <c r="K7">
        <f>A7+E7*I7</f>
        <v>0.57500000000000007</v>
      </c>
      <c r="L7">
        <f>B7+F7*I7</f>
        <v>0.46500000000000002</v>
      </c>
      <c r="M7">
        <f>C7+G7*I7</f>
        <v>0.23500000000000001</v>
      </c>
      <c r="N7">
        <f>D7+H7*I7</f>
        <v>0.26</v>
      </c>
      <c r="O7">
        <f>E7*J7</f>
        <v>-4.2000000000000003E-2</v>
      </c>
      <c r="P7">
        <f>F7*J7</f>
        <v>-3.4799999999999998E-2</v>
      </c>
      <c r="Q7">
        <f>G7*J7</f>
        <v>-1.8000000000000002E-2</v>
      </c>
      <c r="R7">
        <f>H7*J7</f>
        <v>-1.9199999999999998E-2</v>
      </c>
      <c r="S7">
        <v>1</v>
      </c>
      <c r="T7">
        <v>1</v>
      </c>
      <c r="U7">
        <f>IF(T7&gt;0, L7*S7+M7*ABS(T7),L7*S7+N7*ABS(T7))</f>
        <v>0.70000000000000007</v>
      </c>
      <c r="V7">
        <f>IF(T7&gt;0, P7*S7+Q7*ABS(T7),P7*S7+R7*ABS(T7))</f>
        <v>-5.28E-2</v>
      </c>
      <c r="W7">
        <f>K7*U7</f>
        <v>0.40250000000000008</v>
      </c>
      <c r="X7">
        <f>K7*V7+U7*O7</f>
        <v>-5.9760000000000008E-2</v>
      </c>
      <c r="Y7">
        <f>O7*V7</f>
        <v>2.2176000000000001E-3</v>
      </c>
    </row>
    <row r="8" spans="1:25" x14ac:dyDescent="0.2">
      <c r="A8">
        <v>1.1000000000000001</v>
      </c>
      <c r="B8">
        <v>0.9</v>
      </c>
      <c r="C8">
        <v>0.46</v>
      </c>
      <c r="D8">
        <v>0.5</v>
      </c>
      <c r="E8">
        <v>-1.05</v>
      </c>
      <c r="F8">
        <v>-0.87</v>
      </c>
      <c r="G8">
        <v>-0.45</v>
      </c>
      <c r="H8">
        <v>-0.48</v>
      </c>
      <c r="I8">
        <v>0.5</v>
      </c>
      <c r="J8">
        <v>0.04</v>
      </c>
      <c r="K8">
        <f>A8+E8*I8</f>
        <v>0.57500000000000007</v>
      </c>
      <c r="L8">
        <f>B8+F8*I8</f>
        <v>0.46500000000000002</v>
      </c>
      <c r="M8">
        <f>C8+G8*I8</f>
        <v>0.23500000000000001</v>
      </c>
      <c r="N8">
        <f>D8+H8*I8</f>
        <v>0.26</v>
      </c>
      <c r="O8">
        <f>E8*J8</f>
        <v>-4.2000000000000003E-2</v>
      </c>
      <c r="P8">
        <f>F8*J8</f>
        <v>-3.4799999999999998E-2</v>
      </c>
      <c r="Q8">
        <f>G8*J8</f>
        <v>-1.8000000000000002E-2</v>
      </c>
      <c r="R8">
        <f>H8*J8</f>
        <v>-1.9199999999999998E-2</v>
      </c>
      <c r="S8">
        <v>1</v>
      </c>
      <c r="T8">
        <v>-1</v>
      </c>
      <c r="U8">
        <f>IF(T8&gt;0, L8*S8+M8*ABS(T8),L8*S8+N8*ABS(T8))</f>
        <v>0.72500000000000009</v>
      </c>
      <c r="V8">
        <f>IF(T8&gt;0, P8*S8+Q8*ABS(T8),P8*S8+R8*ABS(T8))</f>
        <v>-5.3999999999999992E-2</v>
      </c>
      <c r="W8">
        <f>K8*U8</f>
        <v>0.41687500000000011</v>
      </c>
      <c r="X8">
        <f>K8*V8+U8*O8</f>
        <v>-6.1499999999999999E-2</v>
      </c>
      <c r="Y8">
        <f>O8*V8</f>
        <v>2.2679999999999996E-3</v>
      </c>
    </row>
    <row r="9" spans="1:25" x14ac:dyDescent="0.2">
      <c r="A9" t="s">
        <v>5</v>
      </c>
    </row>
    <row r="10" spans="1:25" x14ac:dyDescent="0.2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  <c r="P10" t="s">
        <v>57</v>
      </c>
      <c r="Q10" t="s">
        <v>58</v>
      </c>
      <c r="R10" t="s">
        <v>59</v>
      </c>
      <c r="S10" t="s">
        <v>63</v>
      </c>
      <c r="T10" t="s">
        <v>64</v>
      </c>
      <c r="U10" t="s">
        <v>65</v>
      </c>
      <c r="V10" t="s">
        <v>66</v>
      </c>
      <c r="W10" t="s">
        <v>60</v>
      </c>
      <c r="X10" t="s">
        <v>61</v>
      </c>
      <c r="Y10" t="s">
        <v>62</v>
      </c>
    </row>
    <row r="11" spans="1:25" x14ac:dyDescent="0.2">
      <c r="A11">
        <f>(A3+A7)/2</f>
        <v>0.60000000000000009</v>
      </c>
      <c r="B11">
        <f t="shared" ref="B11:J12" si="0">(B3+B7)/2</f>
        <v>0.48499999999999999</v>
      </c>
      <c r="C11">
        <f t="shared" si="0"/>
        <v>0.245</v>
      </c>
      <c r="D11">
        <f t="shared" si="0"/>
        <v>0.27</v>
      </c>
      <c r="E11">
        <f t="shared" si="0"/>
        <v>-1.125</v>
      </c>
      <c r="F11">
        <f t="shared" si="0"/>
        <v>-0.9850000000000001</v>
      </c>
      <c r="G11">
        <f t="shared" si="0"/>
        <v>-0.52500000000000002</v>
      </c>
      <c r="H11">
        <f t="shared" si="0"/>
        <v>-0.59</v>
      </c>
      <c r="I11">
        <f t="shared" si="0"/>
        <v>0</v>
      </c>
      <c r="J11">
        <f t="shared" si="0"/>
        <v>-1.5000000000000003E-2</v>
      </c>
      <c r="K11">
        <f>A11+E11*I11</f>
        <v>0.60000000000000009</v>
      </c>
      <c r="L11">
        <f>B11+F11*I11</f>
        <v>0.48499999999999999</v>
      </c>
      <c r="M11">
        <f>C11+G11*I11</f>
        <v>0.245</v>
      </c>
      <c r="N11">
        <f>D11+H11*I11</f>
        <v>0.27</v>
      </c>
      <c r="O11">
        <f>E11*J11</f>
        <v>1.6875000000000005E-2</v>
      </c>
      <c r="P11">
        <f>F11*J11</f>
        <v>1.4775000000000005E-2</v>
      </c>
      <c r="Q11">
        <f>G11*J11</f>
        <v>7.8750000000000018E-3</v>
      </c>
      <c r="R11">
        <f>H11*J11</f>
        <v>8.850000000000002E-3</v>
      </c>
      <c r="S11">
        <v>1</v>
      </c>
      <c r="T11">
        <v>1</v>
      </c>
      <c r="U11">
        <f>IF(T11&gt;0, L11*S11+M11*ABS(T11),L11*S11+N11*ABS(T11))</f>
        <v>0.73</v>
      </c>
      <c r="V11">
        <f>IF(T11&gt;0, P11*S11+Q11*ABS(T11),P11*S11+R11*ABS(T11))</f>
        <v>2.2650000000000007E-2</v>
      </c>
      <c r="W11">
        <f>K11*U11</f>
        <v>0.43800000000000006</v>
      </c>
      <c r="X11">
        <f>K11*V11+U11*O11</f>
        <v>2.5908750000000008E-2</v>
      </c>
      <c r="Y11">
        <f>O11*V11</f>
        <v>3.8221875000000023E-4</v>
      </c>
    </row>
    <row r="12" spans="1:25" x14ac:dyDescent="0.2">
      <c r="A12">
        <f>(A4+A8)/2</f>
        <v>0.60000000000000009</v>
      </c>
      <c r="B12">
        <f t="shared" si="0"/>
        <v>0.48499999999999999</v>
      </c>
      <c r="C12">
        <f t="shared" si="0"/>
        <v>0.245</v>
      </c>
      <c r="D12">
        <f t="shared" si="0"/>
        <v>0.27</v>
      </c>
      <c r="E12">
        <f t="shared" si="0"/>
        <v>-1.125</v>
      </c>
      <c r="F12">
        <f t="shared" si="0"/>
        <v>-0.9850000000000001</v>
      </c>
      <c r="G12">
        <f t="shared" si="0"/>
        <v>-0.52500000000000002</v>
      </c>
      <c r="H12">
        <f t="shared" si="0"/>
        <v>-0.59</v>
      </c>
      <c r="I12">
        <f t="shared" si="0"/>
        <v>0</v>
      </c>
      <c r="J12">
        <f t="shared" si="0"/>
        <v>-1.5000000000000003E-2</v>
      </c>
      <c r="K12">
        <f>A12+E12*I12</f>
        <v>0.60000000000000009</v>
      </c>
      <c r="L12">
        <f>B12+F12*I12</f>
        <v>0.48499999999999999</v>
      </c>
      <c r="M12">
        <f>C12+G12*I12</f>
        <v>0.245</v>
      </c>
      <c r="N12">
        <f>D12+H12*I12</f>
        <v>0.27</v>
      </c>
      <c r="O12">
        <f>E12*J12</f>
        <v>1.6875000000000005E-2</v>
      </c>
      <c r="P12">
        <f>F12*J12</f>
        <v>1.4775000000000005E-2</v>
      </c>
      <c r="Q12">
        <f>G12*J12</f>
        <v>7.8750000000000018E-3</v>
      </c>
      <c r="R12">
        <f>H12*J12</f>
        <v>8.850000000000002E-3</v>
      </c>
      <c r="S12">
        <v>1</v>
      </c>
      <c r="T12">
        <v>-1</v>
      </c>
      <c r="U12">
        <f>IF(T12&gt;0, L12*S12+M12*ABS(T12),L12*S12+N12*ABS(T12))</f>
        <v>0.755</v>
      </c>
      <c r="V12">
        <f>IF(T12&gt;0, P12*S12+Q12*ABS(T12),P12*S12+R12*ABS(T12))</f>
        <v>2.3625000000000007E-2</v>
      </c>
      <c r="W12">
        <f>K12*U12</f>
        <v>0.45300000000000007</v>
      </c>
      <c r="X12">
        <f>K12*V12+U12*O12</f>
        <v>2.6915625000000012E-2</v>
      </c>
      <c r="Y12">
        <f>O12*V12</f>
        <v>3.9867187500000021E-4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A658-3E7F-EE49-8A9A-CD08CB4674D9}">
  <dimension ref="A1:AB100"/>
  <sheetViews>
    <sheetView tabSelected="1" zoomScaleNormal="100" workbookViewId="0">
      <selection activeCell="AM23" sqref="AM23"/>
    </sheetView>
  </sheetViews>
  <sheetFormatPr baseColWidth="10" defaultRowHeight="16" x14ac:dyDescent="0.2"/>
  <sheetData>
    <row r="1" spans="1:27" x14ac:dyDescent="0.2">
      <c r="A1" t="s">
        <v>4</v>
      </c>
    </row>
    <row r="2" spans="1:27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26</v>
      </c>
      <c r="L2" t="s">
        <v>27</v>
      </c>
      <c r="M2" t="s">
        <v>28</v>
      </c>
      <c r="N2" t="s">
        <v>32</v>
      </c>
      <c r="O2" t="s">
        <v>29</v>
      </c>
      <c r="P2" t="s">
        <v>30</v>
      </c>
      <c r="Q2" t="s">
        <v>31</v>
      </c>
      <c r="R2" t="s">
        <v>33</v>
      </c>
      <c r="S2" t="s">
        <v>63</v>
      </c>
      <c r="T2" t="s">
        <v>64</v>
      </c>
      <c r="U2" t="s">
        <v>65</v>
      </c>
      <c r="V2" t="s">
        <v>66</v>
      </c>
      <c r="W2" t="s">
        <v>60</v>
      </c>
      <c r="X2" t="s">
        <v>61</v>
      </c>
      <c r="Y2" t="s">
        <v>62</v>
      </c>
      <c r="Z2" t="s">
        <v>68</v>
      </c>
      <c r="AA2" t="s">
        <v>67</v>
      </c>
    </row>
    <row r="3" spans="1:27" x14ac:dyDescent="0.2">
      <c r="A3">
        <v>0.1</v>
      </c>
      <c r="B3">
        <v>7.0000000000000007E-2</v>
      </c>
      <c r="C3">
        <v>0.03</v>
      </c>
      <c r="D3">
        <v>0.04</v>
      </c>
      <c r="E3">
        <v>-1.2</v>
      </c>
      <c r="F3">
        <v>-1.1000000000000001</v>
      </c>
      <c r="G3">
        <v>-0.6</v>
      </c>
      <c r="H3">
        <v>-0.7</v>
      </c>
      <c r="I3">
        <v>-0.5</v>
      </c>
      <c r="J3">
        <v>-7.0000000000000007E-2</v>
      </c>
      <c r="K3">
        <f>A3+E3*I3</f>
        <v>0.7</v>
      </c>
      <c r="L3">
        <f>B3+F3*I3</f>
        <v>0.62000000000000011</v>
      </c>
      <c r="M3">
        <f>C3+G3*I3</f>
        <v>0.32999999999999996</v>
      </c>
      <c r="N3">
        <f>D3+H3*I3</f>
        <v>0.38999999999999996</v>
      </c>
      <c r="O3">
        <f>E3*J3</f>
        <v>8.4000000000000005E-2</v>
      </c>
      <c r="P3">
        <f>F3*J3</f>
        <v>7.7000000000000013E-2</v>
      </c>
      <c r="Q3">
        <f>G3*J3</f>
        <v>4.2000000000000003E-2</v>
      </c>
      <c r="R3">
        <f>H3*J3</f>
        <v>4.9000000000000002E-2</v>
      </c>
      <c r="S3">
        <v>1</v>
      </c>
      <c r="T3">
        <v>1</v>
      </c>
      <c r="U3">
        <f>IF(T3&gt;0, L3*S3+M3*ABS(T3),L3*S3+N3*ABS(T3))</f>
        <v>0.95000000000000007</v>
      </c>
      <c r="V3">
        <f>IF(T3&gt;0, P3*S3+Q3*ABS(T3),P3*S3+R3*ABS(T3))</f>
        <v>0.11900000000000002</v>
      </c>
      <c r="W3">
        <f>K3*U3</f>
        <v>0.66500000000000004</v>
      </c>
      <c r="X3">
        <f>K3*V3+U3*O3</f>
        <v>0.16310000000000002</v>
      </c>
      <c r="Y3">
        <f>O3*V3</f>
        <v>9.9960000000000031E-3</v>
      </c>
      <c r="Z3">
        <v>-1</v>
      </c>
      <c r="AA3">
        <f>W3+X3*Z3+Y3*Z3^2</f>
        <v>0.51189600000000002</v>
      </c>
    </row>
    <row r="4" spans="1:27" x14ac:dyDescent="0.2">
      <c r="A4">
        <v>0.1</v>
      </c>
      <c r="B4">
        <v>7.0000000000000007E-2</v>
      </c>
      <c r="C4">
        <v>0.03</v>
      </c>
      <c r="D4">
        <v>0.04</v>
      </c>
      <c r="E4">
        <v>-1.2</v>
      </c>
      <c r="F4">
        <v>-1.1000000000000001</v>
      </c>
      <c r="G4">
        <v>-0.6</v>
      </c>
      <c r="H4">
        <v>-0.7</v>
      </c>
      <c r="I4">
        <v>-0.5</v>
      </c>
      <c r="J4">
        <v>-7.0000000000000007E-2</v>
      </c>
      <c r="K4">
        <f t="shared" ref="K4:K25" si="0">A4+E4*I4</f>
        <v>0.7</v>
      </c>
      <c r="L4">
        <f t="shared" ref="L4:L25" si="1">B4+F4*I4</f>
        <v>0.62000000000000011</v>
      </c>
      <c r="M4">
        <f t="shared" ref="M4:M25" si="2">C4+G4*I4</f>
        <v>0.32999999999999996</v>
      </c>
      <c r="N4">
        <f t="shared" ref="N4:N25" si="3">D4+H4*I4</f>
        <v>0.38999999999999996</v>
      </c>
      <c r="O4">
        <f t="shared" ref="O4:O25" si="4">E4*J4</f>
        <v>8.4000000000000005E-2</v>
      </c>
      <c r="P4">
        <f t="shared" ref="P4:P25" si="5">F4*J4</f>
        <v>7.7000000000000013E-2</v>
      </c>
      <c r="Q4">
        <f t="shared" ref="Q4:Q25" si="6">G4*J4</f>
        <v>4.2000000000000003E-2</v>
      </c>
      <c r="R4">
        <f t="shared" ref="R4:R25" si="7">H4*J4</f>
        <v>4.9000000000000002E-2</v>
      </c>
      <c r="S4">
        <v>1</v>
      </c>
      <c r="T4">
        <v>1</v>
      </c>
      <c r="U4">
        <f t="shared" ref="U4:U25" si="8">IF(T4&gt;0, L4*S4+M4*ABS(T4),L4*S4+N4*ABS(T4))</f>
        <v>0.95000000000000007</v>
      </c>
      <c r="V4">
        <f t="shared" ref="V4:V25" si="9">IF(T4&gt;0, P4*S4+Q4*ABS(T4),P4*S4+R4*ABS(T4))</f>
        <v>0.11900000000000002</v>
      </c>
      <c r="W4">
        <f t="shared" ref="W4:W25" si="10">K4*U4</f>
        <v>0.66500000000000004</v>
      </c>
      <c r="X4">
        <f t="shared" ref="X4:X25" si="11">K4*V4+U4*O4</f>
        <v>0.16310000000000002</v>
      </c>
      <c r="Y4">
        <f t="shared" ref="Y4:Y25" si="12">O4*V4</f>
        <v>9.9960000000000031E-3</v>
      </c>
      <c r="Z4">
        <v>-0.9</v>
      </c>
      <c r="AA4">
        <f t="shared" ref="AA4:AA25" si="13">W4+X4*Z4+Y4*Z4^2</f>
        <v>0.5263067600000001</v>
      </c>
    </row>
    <row r="5" spans="1:27" x14ac:dyDescent="0.2">
      <c r="A5">
        <v>0.1</v>
      </c>
      <c r="B5">
        <v>7.0000000000000007E-2</v>
      </c>
      <c r="C5">
        <v>0.03</v>
      </c>
      <c r="D5">
        <v>0.04</v>
      </c>
      <c r="E5">
        <v>-1.2</v>
      </c>
      <c r="F5">
        <v>-1.1000000000000001</v>
      </c>
      <c r="G5">
        <v>-0.6</v>
      </c>
      <c r="H5">
        <v>-0.7</v>
      </c>
      <c r="I5">
        <v>-0.5</v>
      </c>
      <c r="J5">
        <v>-7.0000000000000007E-2</v>
      </c>
      <c r="K5">
        <f t="shared" si="0"/>
        <v>0.7</v>
      </c>
      <c r="L5">
        <f t="shared" si="1"/>
        <v>0.62000000000000011</v>
      </c>
      <c r="M5">
        <f t="shared" si="2"/>
        <v>0.32999999999999996</v>
      </c>
      <c r="N5">
        <f t="shared" si="3"/>
        <v>0.38999999999999996</v>
      </c>
      <c r="O5">
        <f t="shared" si="4"/>
        <v>8.4000000000000005E-2</v>
      </c>
      <c r="P5">
        <f t="shared" si="5"/>
        <v>7.7000000000000013E-2</v>
      </c>
      <c r="Q5">
        <f t="shared" si="6"/>
        <v>4.2000000000000003E-2</v>
      </c>
      <c r="R5">
        <f t="shared" si="7"/>
        <v>4.9000000000000002E-2</v>
      </c>
      <c r="S5">
        <v>1</v>
      </c>
      <c r="T5">
        <v>1</v>
      </c>
      <c r="U5">
        <f t="shared" si="8"/>
        <v>0.95000000000000007</v>
      </c>
      <c r="V5">
        <f t="shared" si="9"/>
        <v>0.11900000000000002</v>
      </c>
      <c r="W5">
        <f t="shared" si="10"/>
        <v>0.66500000000000004</v>
      </c>
      <c r="X5">
        <f t="shared" si="11"/>
        <v>0.16310000000000002</v>
      </c>
      <c r="Y5">
        <f t="shared" si="12"/>
        <v>9.9960000000000031E-3</v>
      </c>
      <c r="Z5">
        <v>-0.8</v>
      </c>
      <c r="AA5">
        <f t="shared" si="13"/>
        <v>0.54091743999999997</v>
      </c>
    </row>
    <row r="6" spans="1:27" x14ac:dyDescent="0.2">
      <c r="A6">
        <v>0.1</v>
      </c>
      <c r="B6">
        <v>7.0000000000000007E-2</v>
      </c>
      <c r="C6">
        <v>0.03</v>
      </c>
      <c r="D6">
        <v>0.04</v>
      </c>
      <c r="E6">
        <v>-1.2</v>
      </c>
      <c r="F6">
        <v>-1.1000000000000001</v>
      </c>
      <c r="G6">
        <v>-0.6</v>
      </c>
      <c r="H6">
        <v>-0.7</v>
      </c>
      <c r="I6">
        <v>-0.5</v>
      </c>
      <c r="J6">
        <v>-7.0000000000000007E-2</v>
      </c>
      <c r="K6">
        <f t="shared" si="0"/>
        <v>0.7</v>
      </c>
      <c r="L6">
        <f t="shared" si="1"/>
        <v>0.62000000000000011</v>
      </c>
      <c r="M6">
        <f t="shared" si="2"/>
        <v>0.32999999999999996</v>
      </c>
      <c r="N6">
        <f t="shared" si="3"/>
        <v>0.38999999999999996</v>
      </c>
      <c r="O6">
        <f t="shared" si="4"/>
        <v>8.4000000000000005E-2</v>
      </c>
      <c r="P6">
        <f t="shared" si="5"/>
        <v>7.7000000000000013E-2</v>
      </c>
      <c r="Q6">
        <f t="shared" si="6"/>
        <v>4.2000000000000003E-2</v>
      </c>
      <c r="R6">
        <f t="shared" si="7"/>
        <v>4.9000000000000002E-2</v>
      </c>
      <c r="S6">
        <v>1</v>
      </c>
      <c r="T6">
        <v>1</v>
      </c>
      <c r="U6">
        <f t="shared" si="8"/>
        <v>0.95000000000000007</v>
      </c>
      <c r="V6">
        <f t="shared" si="9"/>
        <v>0.11900000000000002</v>
      </c>
      <c r="W6">
        <f t="shared" si="10"/>
        <v>0.66500000000000004</v>
      </c>
      <c r="X6">
        <f t="shared" si="11"/>
        <v>0.16310000000000002</v>
      </c>
      <c r="Y6">
        <f t="shared" si="12"/>
        <v>9.9960000000000031E-3</v>
      </c>
      <c r="Z6">
        <v>-0.7</v>
      </c>
      <c r="AA6">
        <f t="shared" si="13"/>
        <v>0.55572804000000009</v>
      </c>
    </row>
    <row r="7" spans="1:27" x14ac:dyDescent="0.2">
      <c r="A7">
        <v>0.1</v>
      </c>
      <c r="B7">
        <v>7.0000000000000007E-2</v>
      </c>
      <c r="C7">
        <v>0.03</v>
      </c>
      <c r="D7">
        <v>0.04</v>
      </c>
      <c r="E7">
        <v>-1.2</v>
      </c>
      <c r="F7">
        <v>-1.1000000000000001</v>
      </c>
      <c r="G7">
        <v>-0.6</v>
      </c>
      <c r="H7">
        <v>-0.7</v>
      </c>
      <c r="I7">
        <v>-0.5</v>
      </c>
      <c r="J7">
        <v>-7.0000000000000007E-2</v>
      </c>
      <c r="K7">
        <f t="shared" si="0"/>
        <v>0.7</v>
      </c>
      <c r="L7">
        <f t="shared" si="1"/>
        <v>0.62000000000000011</v>
      </c>
      <c r="M7">
        <f t="shared" si="2"/>
        <v>0.32999999999999996</v>
      </c>
      <c r="N7">
        <f t="shared" si="3"/>
        <v>0.38999999999999996</v>
      </c>
      <c r="O7">
        <f t="shared" si="4"/>
        <v>8.4000000000000005E-2</v>
      </c>
      <c r="P7">
        <f t="shared" si="5"/>
        <v>7.7000000000000013E-2</v>
      </c>
      <c r="Q7">
        <f t="shared" si="6"/>
        <v>4.2000000000000003E-2</v>
      </c>
      <c r="R7">
        <f t="shared" si="7"/>
        <v>4.9000000000000002E-2</v>
      </c>
      <c r="S7">
        <v>1</v>
      </c>
      <c r="T7">
        <v>1</v>
      </c>
      <c r="U7">
        <f t="shared" si="8"/>
        <v>0.95000000000000007</v>
      </c>
      <c r="V7">
        <f t="shared" si="9"/>
        <v>0.11900000000000002</v>
      </c>
      <c r="W7">
        <f t="shared" si="10"/>
        <v>0.66500000000000004</v>
      </c>
      <c r="X7">
        <f t="shared" si="11"/>
        <v>0.16310000000000002</v>
      </c>
      <c r="Y7">
        <f t="shared" si="12"/>
        <v>9.9960000000000031E-3</v>
      </c>
      <c r="Z7">
        <v>-0.6</v>
      </c>
      <c r="AA7">
        <f t="shared" si="13"/>
        <v>0.57073856000000001</v>
      </c>
    </row>
    <row r="8" spans="1:27" x14ac:dyDescent="0.2">
      <c r="A8">
        <v>0.1</v>
      </c>
      <c r="B8">
        <v>7.0000000000000007E-2</v>
      </c>
      <c r="C8">
        <v>0.03</v>
      </c>
      <c r="D8">
        <v>0.04</v>
      </c>
      <c r="E8">
        <v>-1.2</v>
      </c>
      <c r="F8">
        <v>-1.1000000000000001</v>
      </c>
      <c r="G8">
        <v>-0.6</v>
      </c>
      <c r="H8">
        <v>-0.7</v>
      </c>
      <c r="I8">
        <v>-0.5</v>
      </c>
      <c r="J8">
        <v>-7.0000000000000007E-2</v>
      </c>
      <c r="K8">
        <f t="shared" si="0"/>
        <v>0.7</v>
      </c>
      <c r="L8">
        <f t="shared" si="1"/>
        <v>0.62000000000000011</v>
      </c>
      <c r="M8">
        <f t="shared" si="2"/>
        <v>0.32999999999999996</v>
      </c>
      <c r="N8">
        <f t="shared" si="3"/>
        <v>0.38999999999999996</v>
      </c>
      <c r="O8">
        <f t="shared" si="4"/>
        <v>8.4000000000000005E-2</v>
      </c>
      <c r="P8">
        <f t="shared" si="5"/>
        <v>7.7000000000000013E-2</v>
      </c>
      <c r="Q8">
        <f t="shared" si="6"/>
        <v>4.2000000000000003E-2</v>
      </c>
      <c r="R8">
        <f t="shared" si="7"/>
        <v>4.9000000000000002E-2</v>
      </c>
      <c r="S8">
        <v>1</v>
      </c>
      <c r="T8">
        <v>1</v>
      </c>
      <c r="U8">
        <f t="shared" si="8"/>
        <v>0.95000000000000007</v>
      </c>
      <c r="V8">
        <f t="shared" si="9"/>
        <v>0.11900000000000002</v>
      </c>
      <c r="W8">
        <f t="shared" si="10"/>
        <v>0.66500000000000004</v>
      </c>
      <c r="X8">
        <f t="shared" si="11"/>
        <v>0.16310000000000002</v>
      </c>
      <c r="Y8">
        <f t="shared" si="12"/>
        <v>9.9960000000000031E-3</v>
      </c>
      <c r="Z8">
        <v>-0.5</v>
      </c>
      <c r="AA8">
        <f t="shared" si="13"/>
        <v>0.58594900000000005</v>
      </c>
    </row>
    <row r="9" spans="1:27" x14ac:dyDescent="0.2">
      <c r="A9">
        <v>0.1</v>
      </c>
      <c r="B9">
        <v>7.0000000000000007E-2</v>
      </c>
      <c r="C9">
        <v>0.03</v>
      </c>
      <c r="D9">
        <v>0.04</v>
      </c>
      <c r="E9">
        <v>-1.2</v>
      </c>
      <c r="F9">
        <v>-1.1000000000000001</v>
      </c>
      <c r="G9">
        <v>-0.6</v>
      </c>
      <c r="H9">
        <v>-0.7</v>
      </c>
      <c r="I9">
        <v>-0.5</v>
      </c>
      <c r="J9">
        <v>-7.0000000000000007E-2</v>
      </c>
      <c r="K9">
        <f t="shared" si="0"/>
        <v>0.7</v>
      </c>
      <c r="L9">
        <f t="shared" si="1"/>
        <v>0.62000000000000011</v>
      </c>
      <c r="M9">
        <f t="shared" si="2"/>
        <v>0.32999999999999996</v>
      </c>
      <c r="N9">
        <f t="shared" si="3"/>
        <v>0.38999999999999996</v>
      </c>
      <c r="O9">
        <f t="shared" si="4"/>
        <v>8.4000000000000005E-2</v>
      </c>
      <c r="P9">
        <f t="shared" si="5"/>
        <v>7.7000000000000013E-2</v>
      </c>
      <c r="Q9">
        <f t="shared" si="6"/>
        <v>4.2000000000000003E-2</v>
      </c>
      <c r="R9">
        <f t="shared" si="7"/>
        <v>4.9000000000000002E-2</v>
      </c>
      <c r="S9">
        <v>1</v>
      </c>
      <c r="T9">
        <v>1</v>
      </c>
      <c r="U9">
        <f t="shared" si="8"/>
        <v>0.95000000000000007</v>
      </c>
      <c r="V9">
        <f t="shared" si="9"/>
        <v>0.11900000000000002</v>
      </c>
      <c r="W9">
        <f t="shared" si="10"/>
        <v>0.66500000000000004</v>
      </c>
      <c r="X9">
        <f t="shared" si="11"/>
        <v>0.16310000000000002</v>
      </c>
      <c r="Y9">
        <f t="shared" si="12"/>
        <v>9.9960000000000031E-3</v>
      </c>
      <c r="Z9">
        <v>-0.4</v>
      </c>
      <c r="AA9">
        <f t="shared" si="13"/>
        <v>0.60135936000000012</v>
      </c>
    </row>
    <row r="10" spans="1:27" x14ac:dyDescent="0.2">
      <c r="A10">
        <v>0.1</v>
      </c>
      <c r="B10">
        <v>7.0000000000000007E-2</v>
      </c>
      <c r="C10">
        <v>0.03</v>
      </c>
      <c r="D10">
        <v>0.04</v>
      </c>
      <c r="E10">
        <v>-1.2</v>
      </c>
      <c r="F10">
        <v>-1.1000000000000001</v>
      </c>
      <c r="G10">
        <v>-0.6</v>
      </c>
      <c r="H10">
        <v>-0.7</v>
      </c>
      <c r="I10">
        <v>-0.5</v>
      </c>
      <c r="J10">
        <v>-7.0000000000000007E-2</v>
      </c>
      <c r="K10">
        <f t="shared" si="0"/>
        <v>0.7</v>
      </c>
      <c r="L10">
        <f t="shared" si="1"/>
        <v>0.62000000000000011</v>
      </c>
      <c r="M10">
        <f t="shared" si="2"/>
        <v>0.32999999999999996</v>
      </c>
      <c r="N10">
        <f t="shared" si="3"/>
        <v>0.38999999999999996</v>
      </c>
      <c r="O10">
        <f t="shared" si="4"/>
        <v>8.4000000000000005E-2</v>
      </c>
      <c r="P10">
        <f t="shared" si="5"/>
        <v>7.7000000000000013E-2</v>
      </c>
      <c r="Q10">
        <f t="shared" si="6"/>
        <v>4.2000000000000003E-2</v>
      </c>
      <c r="R10">
        <f t="shared" si="7"/>
        <v>4.9000000000000002E-2</v>
      </c>
      <c r="S10">
        <v>1</v>
      </c>
      <c r="T10">
        <v>1</v>
      </c>
      <c r="U10">
        <f t="shared" si="8"/>
        <v>0.95000000000000007</v>
      </c>
      <c r="V10">
        <f t="shared" si="9"/>
        <v>0.11900000000000002</v>
      </c>
      <c r="W10">
        <f t="shared" si="10"/>
        <v>0.66500000000000004</v>
      </c>
      <c r="X10">
        <f t="shared" si="11"/>
        <v>0.16310000000000002</v>
      </c>
      <c r="Y10">
        <f t="shared" si="12"/>
        <v>9.9960000000000031E-3</v>
      </c>
      <c r="Z10">
        <v>-0.3</v>
      </c>
      <c r="AA10">
        <f t="shared" si="13"/>
        <v>0.61696963999999999</v>
      </c>
    </row>
    <row r="11" spans="1:27" x14ac:dyDescent="0.2">
      <c r="A11">
        <v>0.1</v>
      </c>
      <c r="B11">
        <v>7.0000000000000007E-2</v>
      </c>
      <c r="C11">
        <v>0.03</v>
      </c>
      <c r="D11">
        <v>0.04</v>
      </c>
      <c r="E11">
        <v>-1.2</v>
      </c>
      <c r="F11">
        <v>-1.1000000000000001</v>
      </c>
      <c r="G11">
        <v>-0.6</v>
      </c>
      <c r="H11">
        <v>-0.7</v>
      </c>
      <c r="I11">
        <v>-0.5</v>
      </c>
      <c r="J11">
        <v>-7.0000000000000007E-2</v>
      </c>
      <c r="K11">
        <f t="shared" si="0"/>
        <v>0.7</v>
      </c>
      <c r="L11">
        <f t="shared" si="1"/>
        <v>0.62000000000000011</v>
      </c>
      <c r="M11">
        <f t="shared" si="2"/>
        <v>0.32999999999999996</v>
      </c>
      <c r="N11">
        <f t="shared" si="3"/>
        <v>0.38999999999999996</v>
      </c>
      <c r="O11">
        <f t="shared" si="4"/>
        <v>8.4000000000000005E-2</v>
      </c>
      <c r="P11">
        <f t="shared" si="5"/>
        <v>7.7000000000000013E-2</v>
      </c>
      <c r="Q11">
        <f t="shared" si="6"/>
        <v>4.2000000000000003E-2</v>
      </c>
      <c r="R11">
        <f t="shared" si="7"/>
        <v>4.9000000000000002E-2</v>
      </c>
      <c r="S11">
        <v>1</v>
      </c>
      <c r="T11">
        <v>1</v>
      </c>
      <c r="U11">
        <f t="shared" si="8"/>
        <v>0.95000000000000007</v>
      </c>
      <c r="V11">
        <f t="shared" si="9"/>
        <v>0.11900000000000002</v>
      </c>
      <c r="W11">
        <f t="shared" si="10"/>
        <v>0.66500000000000004</v>
      </c>
      <c r="X11">
        <f t="shared" si="11"/>
        <v>0.16310000000000002</v>
      </c>
      <c r="Y11">
        <f t="shared" si="12"/>
        <v>9.9960000000000031E-3</v>
      </c>
      <c r="Z11">
        <v>-0.2</v>
      </c>
      <c r="AA11">
        <f t="shared" si="13"/>
        <v>0.63277984000000009</v>
      </c>
    </row>
    <row r="12" spans="1:27" x14ac:dyDescent="0.2">
      <c r="A12">
        <v>0.1</v>
      </c>
      <c r="B12">
        <v>7.0000000000000007E-2</v>
      </c>
      <c r="C12">
        <v>0.03</v>
      </c>
      <c r="D12">
        <v>0.04</v>
      </c>
      <c r="E12">
        <v>-1.2</v>
      </c>
      <c r="F12">
        <v>-1.1000000000000001</v>
      </c>
      <c r="G12">
        <v>-0.6</v>
      </c>
      <c r="H12">
        <v>-0.7</v>
      </c>
      <c r="I12">
        <v>-0.5</v>
      </c>
      <c r="J12">
        <v>-7.0000000000000007E-2</v>
      </c>
      <c r="K12">
        <f t="shared" si="0"/>
        <v>0.7</v>
      </c>
      <c r="L12">
        <f t="shared" si="1"/>
        <v>0.62000000000000011</v>
      </c>
      <c r="M12">
        <f t="shared" si="2"/>
        <v>0.32999999999999996</v>
      </c>
      <c r="N12">
        <f t="shared" si="3"/>
        <v>0.38999999999999996</v>
      </c>
      <c r="O12">
        <f t="shared" si="4"/>
        <v>8.4000000000000005E-2</v>
      </c>
      <c r="P12">
        <f t="shared" si="5"/>
        <v>7.7000000000000013E-2</v>
      </c>
      <c r="Q12">
        <f t="shared" si="6"/>
        <v>4.2000000000000003E-2</v>
      </c>
      <c r="R12">
        <f t="shared" si="7"/>
        <v>4.9000000000000002E-2</v>
      </c>
      <c r="S12">
        <v>1</v>
      </c>
      <c r="T12">
        <v>1</v>
      </c>
      <c r="U12">
        <f t="shared" si="8"/>
        <v>0.95000000000000007</v>
      </c>
      <c r="V12">
        <f t="shared" si="9"/>
        <v>0.11900000000000002</v>
      </c>
      <c r="W12">
        <f t="shared" si="10"/>
        <v>0.66500000000000004</v>
      </c>
      <c r="X12">
        <f t="shared" si="11"/>
        <v>0.16310000000000002</v>
      </c>
      <c r="Y12">
        <f t="shared" si="12"/>
        <v>9.9960000000000031E-3</v>
      </c>
      <c r="Z12">
        <v>-0.1</v>
      </c>
      <c r="AA12">
        <f t="shared" si="13"/>
        <v>0.64878996</v>
      </c>
    </row>
    <row r="13" spans="1:27" x14ac:dyDescent="0.2">
      <c r="A13">
        <v>0.1</v>
      </c>
      <c r="B13">
        <v>7.0000000000000007E-2</v>
      </c>
      <c r="C13">
        <v>0.03</v>
      </c>
      <c r="D13">
        <v>0.04</v>
      </c>
      <c r="E13">
        <v>-1.2</v>
      </c>
      <c r="F13">
        <v>-1.1000000000000001</v>
      </c>
      <c r="G13">
        <v>-0.6</v>
      </c>
      <c r="H13">
        <v>-0.7</v>
      </c>
      <c r="I13">
        <v>-0.5</v>
      </c>
      <c r="J13">
        <v>-7.0000000000000007E-2</v>
      </c>
      <c r="K13">
        <f t="shared" si="0"/>
        <v>0.7</v>
      </c>
      <c r="L13">
        <f t="shared" si="1"/>
        <v>0.62000000000000011</v>
      </c>
      <c r="M13">
        <f t="shared" si="2"/>
        <v>0.32999999999999996</v>
      </c>
      <c r="N13">
        <f t="shared" si="3"/>
        <v>0.38999999999999996</v>
      </c>
      <c r="O13">
        <f t="shared" si="4"/>
        <v>8.4000000000000005E-2</v>
      </c>
      <c r="P13">
        <f t="shared" si="5"/>
        <v>7.7000000000000013E-2</v>
      </c>
      <c r="Q13">
        <f t="shared" si="6"/>
        <v>4.2000000000000003E-2</v>
      </c>
      <c r="R13">
        <f t="shared" si="7"/>
        <v>4.9000000000000002E-2</v>
      </c>
      <c r="S13">
        <v>1</v>
      </c>
      <c r="T13">
        <v>1</v>
      </c>
      <c r="U13">
        <f t="shared" si="8"/>
        <v>0.95000000000000007</v>
      </c>
      <c r="V13">
        <f t="shared" si="9"/>
        <v>0.11900000000000002</v>
      </c>
      <c r="W13">
        <f t="shared" si="10"/>
        <v>0.66500000000000004</v>
      </c>
      <c r="X13">
        <f t="shared" si="11"/>
        <v>0.16310000000000002</v>
      </c>
      <c r="Y13">
        <f t="shared" si="12"/>
        <v>9.9960000000000031E-3</v>
      </c>
      <c r="Z13">
        <v>0</v>
      </c>
      <c r="AA13">
        <f t="shared" si="13"/>
        <v>0.66500000000000004</v>
      </c>
    </row>
    <row r="14" spans="1:27" x14ac:dyDescent="0.2">
      <c r="A14">
        <v>0.1</v>
      </c>
      <c r="B14">
        <v>7.0000000000000007E-2</v>
      </c>
      <c r="C14">
        <v>0.03</v>
      </c>
      <c r="D14">
        <v>0.04</v>
      </c>
      <c r="E14">
        <v>-1.2</v>
      </c>
      <c r="F14">
        <v>-1.1000000000000001</v>
      </c>
      <c r="G14">
        <v>-0.6</v>
      </c>
      <c r="H14">
        <v>-0.7</v>
      </c>
      <c r="I14">
        <v>-0.5</v>
      </c>
      <c r="J14">
        <v>-7.0000000000000007E-2</v>
      </c>
      <c r="K14">
        <f t="shared" si="0"/>
        <v>0.7</v>
      </c>
      <c r="L14">
        <f t="shared" si="1"/>
        <v>0.62000000000000011</v>
      </c>
      <c r="M14">
        <f t="shared" si="2"/>
        <v>0.32999999999999996</v>
      </c>
      <c r="N14">
        <f t="shared" si="3"/>
        <v>0.38999999999999996</v>
      </c>
      <c r="O14">
        <f t="shared" si="4"/>
        <v>8.4000000000000005E-2</v>
      </c>
      <c r="P14">
        <f t="shared" si="5"/>
        <v>7.7000000000000013E-2</v>
      </c>
      <c r="Q14">
        <f t="shared" si="6"/>
        <v>4.2000000000000003E-2</v>
      </c>
      <c r="R14">
        <f t="shared" si="7"/>
        <v>4.9000000000000002E-2</v>
      </c>
      <c r="S14">
        <v>1</v>
      </c>
      <c r="T14">
        <v>1</v>
      </c>
      <c r="U14">
        <f t="shared" si="8"/>
        <v>0.95000000000000007</v>
      </c>
      <c r="V14">
        <f t="shared" si="9"/>
        <v>0.11900000000000002</v>
      </c>
      <c r="W14">
        <f t="shared" si="10"/>
        <v>0.66500000000000004</v>
      </c>
      <c r="X14">
        <f t="shared" si="11"/>
        <v>0.16310000000000002</v>
      </c>
      <c r="Y14">
        <f t="shared" si="12"/>
        <v>9.9960000000000031E-3</v>
      </c>
      <c r="Z14">
        <v>0.1</v>
      </c>
      <c r="AA14">
        <f t="shared" si="13"/>
        <v>0.68140996000000009</v>
      </c>
    </row>
    <row r="15" spans="1:27" x14ac:dyDescent="0.2">
      <c r="A15">
        <v>0.1</v>
      </c>
      <c r="B15">
        <v>7.0000000000000007E-2</v>
      </c>
      <c r="C15">
        <v>0.03</v>
      </c>
      <c r="D15">
        <v>0.04</v>
      </c>
      <c r="E15">
        <v>-1.2</v>
      </c>
      <c r="F15">
        <v>-1.1000000000000001</v>
      </c>
      <c r="G15">
        <v>-0.6</v>
      </c>
      <c r="H15">
        <v>-0.7</v>
      </c>
      <c r="I15">
        <v>-0.5</v>
      </c>
      <c r="J15">
        <v>-7.0000000000000007E-2</v>
      </c>
      <c r="K15">
        <f t="shared" si="0"/>
        <v>0.7</v>
      </c>
      <c r="L15">
        <f t="shared" si="1"/>
        <v>0.62000000000000011</v>
      </c>
      <c r="M15">
        <f t="shared" si="2"/>
        <v>0.32999999999999996</v>
      </c>
      <c r="N15">
        <f t="shared" si="3"/>
        <v>0.38999999999999996</v>
      </c>
      <c r="O15">
        <f t="shared" si="4"/>
        <v>8.4000000000000005E-2</v>
      </c>
      <c r="P15">
        <f t="shared" si="5"/>
        <v>7.7000000000000013E-2</v>
      </c>
      <c r="Q15">
        <f t="shared" si="6"/>
        <v>4.2000000000000003E-2</v>
      </c>
      <c r="R15">
        <f t="shared" si="7"/>
        <v>4.9000000000000002E-2</v>
      </c>
      <c r="S15">
        <v>1</v>
      </c>
      <c r="T15">
        <v>1</v>
      </c>
      <c r="U15">
        <f t="shared" si="8"/>
        <v>0.95000000000000007</v>
      </c>
      <c r="V15">
        <f t="shared" si="9"/>
        <v>0.11900000000000002</v>
      </c>
      <c r="W15">
        <f t="shared" si="10"/>
        <v>0.66500000000000004</v>
      </c>
      <c r="X15">
        <f t="shared" si="11"/>
        <v>0.16310000000000002</v>
      </c>
      <c r="Y15">
        <f t="shared" si="12"/>
        <v>9.9960000000000031E-3</v>
      </c>
      <c r="Z15">
        <v>0.2</v>
      </c>
      <c r="AA15">
        <f t="shared" si="13"/>
        <v>0.69801984000000006</v>
      </c>
    </row>
    <row r="16" spans="1:27" x14ac:dyDescent="0.2">
      <c r="A16">
        <v>0.1</v>
      </c>
      <c r="B16">
        <v>7.0000000000000007E-2</v>
      </c>
      <c r="C16">
        <v>0.03</v>
      </c>
      <c r="D16">
        <v>0.04</v>
      </c>
      <c r="E16">
        <v>-1.2</v>
      </c>
      <c r="F16">
        <v>-1.1000000000000001</v>
      </c>
      <c r="G16">
        <v>-0.6</v>
      </c>
      <c r="H16">
        <v>-0.7</v>
      </c>
      <c r="I16">
        <v>-0.5</v>
      </c>
      <c r="J16">
        <v>-7.0000000000000007E-2</v>
      </c>
      <c r="K16">
        <f t="shared" si="0"/>
        <v>0.7</v>
      </c>
      <c r="L16">
        <f t="shared" si="1"/>
        <v>0.62000000000000011</v>
      </c>
      <c r="M16">
        <f t="shared" si="2"/>
        <v>0.32999999999999996</v>
      </c>
      <c r="N16">
        <f t="shared" si="3"/>
        <v>0.38999999999999996</v>
      </c>
      <c r="O16">
        <f t="shared" si="4"/>
        <v>8.4000000000000005E-2</v>
      </c>
      <c r="P16">
        <f t="shared" si="5"/>
        <v>7.7000000000000013E-2</v>
      </c>
      <c r="Q16">
        <f t="shared" si="6"/>
        <v>4.2000000000000003E-2</v>
      </c>
      <c r="R16">
        <f t="shared" si="7"/>
        <v>4.9000000000000002E-2</v>
      </c>
      <c r="S16">
        <v>1</v>
      </c>
      <c r="T16">
        <v>1</v>
      </c>
      <c r="U16">
        <f t="shared" si="8"/>
        <v>0.95000000000000007</v>
      </c>
      <c r="V16">
        <f t="shared" si="9"/>
        <v>0.11900000000000002</v>
      </c>
      <c r="W16">
        <f t="shared" si="10"/>
        <v>0.66500000000000004</v>
      </c>
      <c r="X16">
        <f t="shared" si="11"/>
        <v>0.16310000000000002</v>
      </c>
      <c r="Y16">
        <f t="shared" si="12"/>
        <v>9.9960000000000031E-3</v>
      </c>
      <c r="Z16">
        <v>0.3</v>
      </c>
      <c r="AA16">
        <f t="shared" si="13"/>
        <v>0.71482964000000004</v>
      </c>
    </row>
    <row r="17" spans="1:28" x14ac:dyDescent="0.2">
      <c r="A17">
        <v>0.1</v>
      </c>
      <c r="B17">
        <v>7.0000000000000007E-2</v>
      </c>
      <c r="C17">
        <v>0.03</v>
      </c>
      <c r="D17">
        <v>0.04</v>
      </c>
      <c r="E17">
        <v>-1.2</v>
      </c>
      <c r="F17">
        <v>-1.1000000000000001</v>
      </c>
      <c r="G17">
        <v>-0.6</v>
      </c>
      <c r="H17">
        <v>-0.7</v>
      </c>
      <c r="I17">
        <v>-0.5</v>
      </c>
      <c r="J17">
        <v>-7.0000000000000007E-2</v>
      </c>
      <c r="K17">
        <f t="shared" si="0"/>
        <v>0.7</v>
      </c>
      <c r="L17">
        <f t="shared" si="1"/>
        <v>0.62000000000000011</v>
      </c>
      <c r="M17">
        <f t="shared" si="2"/>
        <v>0.32999999999999996</v>
      </c>
      <c r="N17">
        <f t="shared" si="3"/>
        <v>0.38999999999999996</v>
      </c>
      <c r="O17">
        <f t="shared" si="4"/>
        <v>8.4000000000000005E-2</v>
      </c>
      <c r="P17">
        <f t="shared" si="5"/>
        <v>7.7000000000000013E-2</v>
      </c>
      <c r="Q17">
        <f t="shared" si="6"/>
        <v>4.2000000000000003E-2</v>
      </c>
      <c r="R17">
        <f t="shared" si="7"/>
        <v>4.9000000000000002E-2</v>
      </c>
      <c r="S17">
        <v>1</v>
      </c>
      <c r="T17">
        <v>1</v>
      </c>
      <c r="U17">
        <f t="shared" si="8"/>
        <v>0.95000000000000007</v>
      </c>
      <c r="V17">
        <f t="shared" si="9"/>
        <v>0.11900000000000002</v>
      </c>
      <c r="W17">
        <f t="shared" si="10"/>
        <v>0.66500000000000004</v>
      </c>
      <c r="X17">
        <f t="shared" si="11"/>
        <v>0.16310000000000002</v>
      </c>
      <c r="Y17">
        <f t="shared" si="12"/>
        <v>9.9960000000000031E-3</v>
      </c>
      <c r="Z17">
        <v>0.4</v>
      </c>
      <c r="AA17">
        <f t="shared" si="13"/>
        <v>0.73183936000000005</v>
      </c>
    </row>
    <row r="18" spans="1:28" x14ac:dyDescent="0.2">
      <c r="A18">
        <v>0.1</v>
      </c>
      <c r="B18">
        <v>7.0000000000000007E-2</v>
      </c>
      <c r="C18">
        <v>0.03</v>
      </c>
      <c r="D18">
        <v>0.04</v>
      </c>
      <c r="E18">
        <v>-1.2</v>
      </c>
      <c r="F18">
        <v>-1.1000000000000001</v>
      </c>
      <c r="G18">
        <v>-0.6</v>
      </c>
      <c r="H18">
        <v>-0.7</v>
      </c>
      <c r="I18">
        <v>-0.5</v>
      </c>
      <c r="J18">
        <v>-7.0000000000000007E-2</v>
      </c>
      <c r="K18">
        <f t="shared" si="0"/>
        <v>0.7</v>
      </c>
      <c r="L18">
        <f t="shared" si="1"/>
        <v>0.62000000000000011</v>
      </c>
      <c r="M18">
        <f t="shared" si="2"/>
        <v>0.32999999999999996</v>
      </c>
      <c r="N18">
        <f t="shared" si="3"/>
        <v>0.38999999999999996</v>
      </c>
      <c r="O18">
        <f t="shared" si="4"/>
        <v>8.4000000000000005E-2</v>
      </c>
      <c r="P18">
        <f t="shared" si="5"/>
        <v>7.7000000000000013E-2</v>
      </c>
      <c r="Q18">
        <f t="shared" si="6"/>
        <v>4.2000000000000003E-2</v>
      </c>
      <c r="R18">
        <f t="shared" si="7"/>
        <v>4.9000000000000002E-2</v>
      </c>
      <c r="S18">
        <v>1</v>
      </c>
      <c r="T18">
        <v>1</v>
      </c>
      <c r="U18">
        <f t="shared" si="8"/>
        <v>0.95000000000000007</v>
      </c>
      <c r="V18">
        <f t="shared" si="9"/>
        <v>0.11900000000000002</v>
      </c>
      <c r="W18">
        <f t="shared" si="10"/>
        <v>0.66500000000000004</v>
      </c>
      <c r="X18">
        <f t="shared" si="11"/>
        <v>0.16310000000000002</v>
      </c>
      <c r="Y18">
        <f t="shared" si="12"/>
        <v>9.9960000000000031E-3</v>
      </c>
      <c r="Z18">
        <v>0.5</v>
      </c>
      <c r="AA18">
        <f t="shared" si="13"/>
        <v>0.74904900000000008</v>
      </c>
    </row>
    <row r="19" spans="1:28" x14ac:dyDescent="0.2">
      <c r="A19">
        <v>0.1</v>
      </c>
      <c r="B19">
        <v>7.0000000000000007E-2</v>
      </c>
      <c r="C19">
        <v>0.03</v>
      </c>
      <c r="D19">
        <v>0.04</v>
      </c>
      <c r="E19">
        <v>-1.2</v>
      </c>
      <c r="F19">
        <v>-1.1000000000000001</v>
      </c>
      <c r="G19">
        <v>-0.6</v>
      </c>
      <c r="H19">
        <v>-0.7</v>
      </c>
      <c r="I19">
        <v>-0.5</v>
      </c>
      <c r="J19">
        <v>-7.0000000000000007E-2</v>
      </c>
      <c r="K19">
        <f t="shared" si="0"/>
        <v>0.7</v>
      </c>
      <c r="L19">
        <f t="shared" si="1"/>
        <v>0.62000000000000011</v>
      </c>
      <c r="M19">
        <f t="shared" si="2"/>
        <v>0.32999999999999996</v>
      </c>
      <c r="N19">
        <f t="shared" si="3"/>
        <v>0.38999999999999996</v>
      </c>
      <c r="O19">
        <f t="shared" si="4"/>
        <v>8.4000000000000005E-2</v>
      </c>
      <c r="P19">
        <f t="shared" si="5"/>
        <v>7.7000000000000013E-2</v>
      </c>
      <c r="Q19">
        <f t="shared" si="6"/>
        <v>4.2000000000000003E-2</v>
      </c>
      <c r="R19">
        <f t="shared" si="7"/>
        <v>4.9000000000000002E-2</v>
      </c>
      <c r="S19">
        <v>1</v>
      </c>
      <c r="T19">
        <v>1</v>
      </c>
      <c r="U19">
        <f t="shared" si="8"/>
        <v>0.95000000000000007</v>
      </c>
      <c r="V19">
        <f t="shared" si="9"/>
        <v>0.11900000000000002</v>
      </c>
      <c r="W19">
        <f t="shared" si="10"/>
        <v>0.66500000000000004</v>
      </c>
      <c r="X19">
        <f t="shared" si="11"/>
        <v>0.16310000000000002</v>
      </c>
      <c r="Y19">
        <f t="shared" si="12"/>
        <v>9.9960000000000031E-3</v>
      </c>
      <c r="Z19">
        <v>0.6</v>
      </c>
      <c r="AA19">
        <f t="shared" si="13"/>
        <v>0.76645856000000012</v>
      </c>
    </row>
    <row r="20" spans="1:28" x14ac:dyDescent="0.2">
      <c r="A20">
        <v>0.1</v>
      </c>
      <c r="B20">
        <v>7.0000000000000007E-2</v>
      </c>
      <c r="C20">
        <v>0.03</v>
      </c>
      <c r="D20">
        <v>0.04</v>
      </c>
      <c r="E20">
        <v>-1.2</v>
      </c>
      <c r="F20">
        <v>-1.1000000000000001</v>
      </c>
      <c r="G20">
        <v>-0.6</v>
      </c>
      <c r="H20">
        <v>-0.7</v>
      </c>
      <c r="I20">
        <v>-0.5</v>
      </c>
      <c r="J20">
        <v>-7.0000000000000007E-2</v>
      </c>
      <c r="K20">
        <f t="shared" si="0"/>
        <v>0.7</v>
      </c>
      <c r="L20">
        <f t="shared" si="1"/>
        <v>0.62000000000000011</v>
      </c>
      <c r="M20">
        <f t="shared" si="2"/>
        <v>0.32999999999999996</v>
      </c>
      <c r="N20">
        <f t="shared" si="3"/>
        <v>0.38999999999999996</v>
      </c>
      <c r="O20">
        <f t="shared" si="4"/>
        <v>8.4000000000000005E-2</v>
      </c>
      <c r="P20">
        <f t="shared" si="5"/>
        <v>7.7000000000000013E-2</v>
      </c>
      <c r="Q20">
        <f t="shared" si="6"/>
        <v>4.2000000000000003E-2</v>
      </c>
      <c r="R20">
        <f t="shared" si="7"/>
        <v>4.9000000000000002E-2</v>
      </c>
      <c r="S20">
        <v>1</v>
      </c>
      <c r="T20">
        <v>1</v>
      </c>
      <c r="U20">
        <f t="shared" si="8"/>
        <v>0.95000000000000007</v>
      </c>
      <c r="V20">
        <f t="shared" si="9"/>
        <v>0.11900000000000002</v>
      </c>
      <c r="W20">
        <f t="shared" si="10"/>
        <v>0.66500000000000004</v>
      </c>
      <c r="X20">
        <f t="shared" si="11"/>
        <v>0.16310000000000002</v>
      </c>
      <c r="Y20">
        <f t="shared" si="12"/>
        <v>9.9960000000000031E-3</v>
      </c>
      <c r="Z20">
        <v>0.7</v>
      </c>
      <c r="AA20">
        <f t="shared" si="13"/>
        <v>0.78406804000000008</v>
      </c>
    </row>
    <row r="21" spans="1:28" x14ac:dyDescent="0.2">
      <c r="A21">
        <v>0.1</v>
      </c>
      <c r="B21">
        <v>7.0000000000000007E-2</v>
      </c>
      <c r="C21">
        <v>0.03</v>
      </c>
      <c r="D21">
        <v>0.04</v>
      </c>
      <c r="E21">
        <v>-1.2</v>
      </c>
      <c r="F21">
        <v>-1.1000000000000001</v>
      </c>
      <c r="G21">
        <v>-0.6</v>
      </c>
      <c r="H21">
        <v>-0.7</v>
      </c>
      <c r="I21">
        <v>-0.5</v>
      </c>
      <c r="J21">
        <v>-7.0000000000000007E-2</v>
      </c>
      <c r="K21">
        <f t="shared" si="0"/>
        <v>0.7</v>
      </c>
      <c r="L21">
        <f t="shared" si="1"/>
        <v>0.62000000000000011</v>
      </c>
      <c r="M21">
        <f t="shared" si="2"/>
        <v>0.32999999999999996</v>
      </c>
      <c r="N21">
        <f t="shared" si="3"/>
        <v>0.38999999999999996</v>
      </c>
      <c r="O21">
        <f t="shared" si="4"/>
        <v>8.4000000000000005E-2</v>
      </c>
      <c r="P21">
        <f t="shared" si="5"/>
        <v>7.7000000000000013E-2</v>
      </c>
      <c r="Q21">
        <f t="shared" si="6"/>
        <v>4.2000000000000003E-2</v>
      </c>
      <c r="R21">
        <f t="shared" si="7"/>
        <v>4.9000000000000002E-2</v>
      </c>
      <c r="S21">
        <v>1</v>
      </c>
      <c r="T21">
        <v>1</v>
      </c>
      <c r="U21">
        <f t="shared" si="8"/>
        <v>0.95000000000000007</v>
      </c>
      <c r="V21">
        <f t="shared" si="9"/>
        <v>0.11900000000000002</v>
      </c>
      <c r="W21">
        <f t="shared" si="10"/>
        <v>0.66500000000000004</v>
      </c>
      <c r="X21">
        <f t="shared" si="11"/>
        <v>0.16310000000000002</v>
      </c>
      <c r="Y21">
        <f t="shared" si="12"/>
        <v>9.9960000000000031E-3</v>
      </c>
      <c r="Z21">
        <v>0.8</v>
      </c>
      <c r="AA21">
        <f t="shared" si="13"/>
        <v>0.80187744000000005</v>
      </c>
    </row>
    <row r="22" spans="1:28" x14ac:dyDescent="0.2">
      <c r="A22">
        <v>0.1</v>
      </c>
      <c r="B22">
        <v>7.0000000000000007E-2</v>
      </c>
      <c r="C22">
        <v>0.03</v>
      </c>
      <c r="D22">
        <v>0.04</v>
      </c>
      <c r="E22">
        <v>-1.2</v>
      </c>
      <c r="F22">
        <v>-1.1000000000000001</v>
      </c>
      <c r="G22">
        <v>-0.6</v>
      </c>
      <c r="H22">
        <v>-0.7</v>
      </c>
      <c r="I22">
        <v>-0.5</v>
      </c>
      <c r="J22">
        <v>-7.0000000000000007E-2</v>
      </c>
      <c r="K22">
        <f t="shared" si="0"/>
        <v>0.7</v>
      </c>
      <c r="L22">
        <f t="shared" si="1"/>
        <v>0.62000000000000011</v>
      </c>
      <c r="M22">
        <f t="shared" si="2"/>
        <v>0.32999999999999996</v>
      </c>
      <c r="N22">
        <f t="shared" si="3"/>
        <v>0.38999999999999996</v>
      </c>
      <c r="O22">
        <f t="shared" si="4"/>
        <v>8.4000000000000005E-2</v>
      </c>
      <c r="P22">
        <f t="shared" si="5"/>
        <v>7.7000000000000013E-2</v>
      </c>
      <c r="Q22">
        <f t="shared" si="6"/>
        <v>4.2000000000000003E-2</v>
      </c>
      <c r="R22">
        <f t="shared" si="7"/>
        <v>4.9000000000000002E-2</v>
      </c>
      <c r="S22">
        <v>1</v>
      </c>
      <c r="T22">
        <v>1</v>
      </c>
      <c r="U22">
        <f t="shared" si="8"/>
        <v>0.95000000000000007</v>
      </c>
      <c r="V22">
        <f t="shared" si="9"/>
        <v>0.11900000000000002</v>
      </c>
      <c r="W22">
        <f t="shared" si="10"/>
        <v>0.66500000000000004</v>
      </c>
      <c r="X22">
        <f t="shared" si="11"/>
        <v>0.16310000000000002</v>
      </c>
      <c r="Y22">
        <f t="shared" si="12"/>
        <v>9.9960000000000031E-3</v>
      </c>
      <c r="Z22">
        <v>0.9</v>
      </c>
      <c r="AA22">
        <f t="shared" si="13"/>
        <v>0.81988676000000005</v>
      </c>
    </row>
    <row r="23" spans="1:28" x14ac:dyDescent="0.2">
      <c r="A23">
        <v>0.1</v>
      </c>
      <c r="B23">
        <v>7.0000000000000007E-2</v>
      </c>
      <c r="C23">
        <v>0.03</v>
      </c>
      <c r="D23">
        <v>0.04</v>
      </c>
      <c r="E23">
        <v>-1.2</v>
      </c>
      <c r="F23">
        <v>-1.1000000000000001</v>
      </c>
      <c r="G23">
        <v>-0.6</v>
      </c>
      <c r="H23">
        <v>-0.7</v>
      </c>
      <c r="I23">
        <v>-0.5</v>
      </c>
      <c r="J23">
        <v>-7.0000000000000007E-2</v>
      </c>
      <c r="K23">
        <f t="shared" si="0"/>
        <v>0.7</v>
      </c>
      <c r="L23">
        <f t="shared" si="1"/>
        <v>0.62000000000000011</v>
      </c>
      <c r="M23">
        <f t="shared" si="2"/>
        <v>0.32999999999999996</v>
      </c>
      <c r="N23">
        <f t="shared" si="3"/>
        <v>0.38999999999999996</v>
      </c>
      <c r="O23">
        <f t="shared" si="4"/>
        <v>8.4000000000000005E-2</v>
      </c>
      <c r="P23">
        <f t="shared" si="5"/>
        <v>7.7000000000000013E-2</v>
      </c>
      <c r="Q23">
        <f t="shared" si="6"/>
        <v>4.2000000000000003E-2</v>
      </c>
      <c r="R23">
        <f t="shared" si="7"/>
        <v>4.9000000000000002E-2</v>
      </c>
      <c r="S23">
        <v>1</v>
      </c>
      <c r="T23">
        <v>1</v>
      </c>
      <c r="U23">
        <f t="shared" si="8"/>
        <v>0.95000000000000007</v>
      </c>
      <c r="V23">
        <f t="shared" si="9"/>
        <v>0.11900000000000002</v>
      </c>
      <c r="W23">
        <f t="shared" si="10"/>
        <v>0.66500000000000004</v>
      </c>
      <c r="X23">
        <f t="shared" si="11"/>
        <v>0.16310000000000002</v>
      </c>
      <c r="Y23">
        <f t="shared" si="12"/>
        <v>9.9960000000000031E-3</v>
      </c>
      <c r="Z23">
        <v>1</v>
      </c>
      <c r="AA23">
        <f t="shared" si="13"/>
        <v>0.83809600000000006</v>
      </c>
    </row>
    <row r="24" spans="1:28" x14ac:dyDescent="0.2">
      <c r="A24">
        <v>0.1</v>
      </c>
      <c r="B24">
        <v>7.0000000000000007E-2</v>
      </c>
      <c r="C24">
        <v>0.03</v>
      </c>
      <c r="D24">
        <v>0.04</v>
      </c>
      <c r="E24">
        <v>-1.2</v>
      </c>
      <c r="F24">
        <v>-1.1000000000000001</v>
      </c>
      <c r="G24">
        <v>-0.6</v>
      </c>
      <c r="H24">
        <v>-0.7</v>
      </c>
      <c r="I24">
        <v>-0.5</v>
      </c>
      <c r="J24">
        <v>-7.0000000000000007E-2</v>
      </c>
      <c r="K24">
        <f t="shared" si="0"/>
        <v>0.7</v>
      </c>
      <c r="L24">
        <f t="shared" si="1"/>
        <v>0.62000000000000011</v>
      </c>
      <c r="M24">
        <f t="shared" si="2"/>
        <v>0.32999999999999996</v>
      </c>
      <c r="N24">
        <f t="shared" si="3"/>
        <v>0.38999999999999996</v>
      </c>
      <c r="O24">
        <f t="shared" si="4"/>
        <v>8.4000000000000005E-2</v>
      </c>
      <c r="P24">
        <f t="shared" si="5"/>
        <v>7.7000000000000013E-2</v>
      </c>
      <c r="Q24">
        <f t="shared" si="6"/>
        <v>4.2000000000000003E-2</v>
      </c>
      <c r="R24">
        <f t="shared" si="7"/>
        <v>4.9000000000000002E-2</v>
      </c>
      <c r="S24">
        <v>1</v>
      </c>
      <c r="T24">
        <v>1</v>
      </c>
      <c r="U24">
        <f t="shared" si="8"/>
        <v>0.95000000000000007</v>
      </c>
      <c r="V24">
        <f t="shared" si="9"/>
        <v>0.11900000000000002</v>
      </c>
      <c r="W24">
        <f t="shared" si="10"/>
        <v>0.66500000000000004</v>
      </c>
      <c r="X24">
        <f t="shared" si="11"/>
        <v>0.16310000000000002</v>
      </c>
      <c r="Y24">
        <f t="shared" si="12"/>
        <v>9.9960000000000031E-3</v>
      </c>
      <c r="Z24">
        <v>1.1000000000000001</v>
      </c>
      <c r="AA24">
        <f t="shared" si="13"/>
        <v>0.8565051600000001</v>
      </c>
    </row>
    <row r="25" spans="1:28" x14ac:dyDescent="0.2">
      <c r="A25">
        <v>0.1</v>
      </c>
      <c r="B25">
        <v>7.0000000000000007E-2</v>
      </c>
      <c r="C25">
        <v>0.03</v>
      </c>
      <c r="D25">
        <v>0.04</v>
      </c>
      <c r="E25">
        <v>-1.2</v>
      </c>
      <c r="F25">
        <v>-1.1000000000000001</v>
      </c>
      <c r="G25">
        <v>-0.6</v>
      </c>
      <c r="H25">
        <v>-0.7</v>
      </c>
      <c r="I25">
        <v>-0.5</v>
      </c>
      <c r="J25">
        <v>-7.0000000000000007E-2</v>
      </c>
      <c r="K25">
        <f t="shared" si="0"/>
        <v>0.7</v>
      </c>
      <c r="L25">
        <f t="shared" si="1"/>
        <v>0.62000000000000011</v>
      </c>
      <c r="M25">
        <f t="shared" si="2"/>
        <v>0.32999999999999996</v>
      </c>
      <c r="N25">
        <f t="shared" si="3"/>
        <v>0.38999999999999996</v>
      </c>
      <c r="O25">
        <f t="shared" si="4"/>
        <v>8.4000000000000005E-2</v>
      </c>
      <c r="P25">
        <f t="shared" si="5"/>
        <v>7.7000000000000013E-2</v>
      </c>
      <c r="Q25">
        <f t="shared" si="6"/>
        <v>4.2000000000000003E-2</v>
      </c>
      <c r="R25">
        <f t="shared" si="7"/>
        <v>4.9000000000000002E-2</v>
      </c>
      <c r="S25">
        <v>1</v>
      </c>
      <c r="T25">
        <v>1</v>
      </c>
      <c r="U25">
        <f t="shared" si="8"/>
        <v>0.95000000000000007</v>
      </c>
      <c r="V25">
        <f t="shared" si="9"/>
        <v>0.11900000000000002</v>
      </c>
      <c r="W25">
        <f t="shared" si="10"/>
        <v>0.66500000000000004</v>
      </c>
      <c r="X25">
        <f t="shared" si="11"/>
        <v>0.16310000000000002</v>
      </c>
      <c r="Y25">
        <f t="shared" si="12"/>
        <v>9.9960000000000031E-3</v>
      </c>
      <c r="Z25">
        <v>1.2</v>
      </c>
      <c r="AA25">
        <f t="shared" si="13"/>
        <v>0.87511424000000004</v>
      </c>
      <c r="AB25" t="s">
        <v>2</v>
      </c>
    </row>
    <row r="27" spans="1:28" x14ac:dyDescent="0.2">
      <c r="A27">
        <v>0.1</v>
      </c>
      <c r="B27">
        <v>7.0000000000000007E-2</v>
      </c>
      <c r="C27">
        <v>0.03</v>
      </c>
      <c r="D27">
        <v>0.04</v>
      </c>
      <c r="E27">
        <v>-1.2</v>
      </c>
      <c r="F27">
        <v>-1.1000000000000001</v>
      </c>
      <c r="G27">
        <v>-0.6</v>
      </c>
      <c r="H27">
        <v>-0.7</v>
      </c>
      <c r="I27">
        <v>-0.5</v>
      </c>
      <c r="J27">
        <v>-7.0000000000000007E-2</v>
      </c>
      <c r="K27">
        <f t="shared" ref="K27" si="14">A27+E27*I27</f>
        <v>0.7</v>
      </c>
      <c r="L27">
        <f t="shared" ref="L27" si="15">B27+F27*I27</f>
        <v>0.62000000000000011</v>
      </c>
      <c r="M27">
        <f t="shared" ref="M27" si="16">C27+G27*I27</f>
        <v>0.32999999999999996</v>
      </c>
      <c r="N27">
        <f t="shared" ref="N27" si="17">D27+H27*I27</f>
        <v>0.38999999999999996</v>
      </c>
      <c r="O27">
        <f t="shared" ref="O27" si="18">E27*J27</f>
        <v>8.4000000000000005E-2</v>
      </c>
      <c r="P27">
        <f t="shared" ref="P27" si="19">F27*J27</f>
        <v>7.7000000000000013E-2</v>
      </c>
      <c r="Q27">
        <f t="shared" ref="Q27" si="20">G27*J27</f>
        <v>4.2000000000000003E-2</v>
      </c>
      <c r="R27">
        <f t="shared" ref="R27" si="21">H27*J27</f>
        <v>4.9000000000000002E-2</v>
      </c>
      <c r="S27">
        <v>1</v>
      </c>
      <c r="T27">
        <v>-1</v>
      </c>
      <c r="U27">
        <f t="shared" ref="U27" si="22">IF(T27&gt;0, L27*S27+M27*ABS(T27),L27*S27+N27*ABS(T27))</f>
        <v>1.01</v>
      </c>
      <c r="V27">
        <f t="shared" ref="V27" si="23">IF(T27&gt;0, P27*S27+Q27*ABS(T27),P27*S27+R27*ABS(T27))</f>
        <v>0.126</v>
      </c>
      <c r="W27">
        <f t="shared" ref="W27" si="24">K27*U27</f>
        <v>0.70699999999999996</v>
      </c>
      <c r="X27">
        <f t="shared" ref="X27" si="25">K27*V27+U27*O27</f>
        <v>0.17304000000000003</v>
      </c>
      <c r="Y27">
        <f t="shared" ref="Y27" si="26">O27*V27</f>
        <v>1.0584000000000001E-2</v>
      </c>
      <c r="Z27">
        <v>-1</v>
      </c>
      <c r="AA27">
        <f t="shared" ref="AA27:AA49" si="27">W27+X27*Z27+Y27*Z27^2</f>
        <v>0.54454400000000003</v>
      </c>
    </row>
    <row r="28" spans="1:28" x14ac:dyDescent="0.2">
      <c r="A28">
        <v>0.1</v>
      </c>
      <c r="B28">
        <v>7.0000000000000007E-2</v>
      </c>
      <c r="C28">
        <v>0.03</v>
      </c>
      <c r="D28">
        <v>0.04</v>
      </c>
      <c r="E28">
        <v>-1.2</v>
      </c>
      <c r="F28">
        <v>-1.1000000000000001</v>
      </c>
      <c r="G28">
        <v>-0.6</v>
      </c>
      <c r="H28">
        <v>-0.7</v>
      </c>
      <c r="I28">
        <v>-0.5</v>
      </c>
      <c r="J28">
        <v>-7.0000000000000007E-2</v>
      </c>
      <c r="K28">
        <f t="shared" ref="K28:K49" si="28">A28+E28*I28</f>
        <v>0.7</v>
      </c>
      <c r="L28">
        <f t="shared" ref="L28:L49" si="29">B28+F28*I28</f>
        <v>0.62000000000000011</v>
      </c>
      <c r="M28">
        <f t="shared" ref="M28:M49" si="30">C28+G28*I28</f>
        <v>0.32999999999999996</v>
      </c>
      <c r="N28">
        <f t="shared" ref="N28:N49" si="31">D28+H28*I28</f>
        <v>0.38999999999999996</v>
      </c>
      <c r="O28">
        <f t="shared" ref="O28:O49" si="32">E28*J28</f>
        <v>8.4000000000000005E-2</v>
      </c>
      <c r="P28">
        <f t="shared" ref="P28:P49" si="33">F28*J28</f>
        <v>7.7000000000000013E-2</v>
      </c>
      <c r="Q28">
        <f t="shared" ref="Q28:Q49" si="34">G28*J28</f>
        <v>4.2000000000000003E-2</v>
      </c>
      <c r="R28">
        <f t="shared" ref="R28:R49" si="35">H28*J28</f>
        <v>4.9000000000000002E-2</v>
      </c>
      <c r="S28">
        <v>1</v>
      </c>
      <c r="T28">
        <v>-1</v>
      </c>
      <c r="U28">
        <f t="shared" ref="U28:U49" si="36">IF(T28&gt;0, L28*S28+M28*ABS(T28),L28*S28+N28*ABS(T28))</f>
        <v>1.01</v>
      </c>
      <c r="V28">
        <f t="shared" ref="V28:V49" si="37">IF(T28&gt;0, P28*S28+Q28*ABS(T28),P28*S28+R28*ABS(T28))</f>
        <v>0.126</v>
      </c>
      <c r="W28">
        <f t="shared" ref="W28:W49" si="38">K28*U28</f>
        <v>0.70699999999999996</v>
      </c>
      <c r="X28">
        <f t="shared" ref="X28:X49" si="39">K28*V28+U28*O28</f>
        <v>0.17304000000000003</v>
      </c>
      <c r="Y28">
        <f t="shared" ref="Y28:Y49" si="40">O28*V28</f>
        <v>1.0584000000000001E-2</v>
      </c>
      <c r="Z28">
        <v>-0.9</v>
      </c>
      <c r="AA28">
        <f t="shared" si="27"/>
        <v>0.55983704000000001</v>
      </c>
    </row>
    <row r="29" spans="1:28" x14ac:dyDescent="0.2">
      <c r="A29">
        <v>0.1</v>
      </c>
      <c r="B29">
        <v>7.0000000000000007E-2</v>
      </c>
      <c r="C29">
        <v>0.03</v>
      </c>
      <c r="D29">
        <v>0.04</v>
      </c>
      <c r="E29">
        <v>-1.2</v>
      </c>
      <c r="F29">
        <v>-1.1000000000000001</v>
      </c>
      <c r="G29">
        <v>-0.6</v>
      </c>
      <c r="H29">
        <v>-0.7</v>
      </c>
      <c r="I29">
        <v>-0.5</v>
      </c>
      <c r="J29">
        <v>-7.0000000000000007E-2</v>
      </c>
      <c r="K29">
        <f t="shared" si="28"/>
        <v>0.7</v>
      </c>
      <c r="L29">
        <f t="shared" si="29"/>
        <v>0.62000000000000011</v>
      </c>
      <c r="M29">
        <f t="shared" si="30"/>
        <v>0.32999999999999996</v>
      </c>
      <c r="N29">
        <f t="shared" si="31"/>
        <v>0.38999999999999996</v>
      </c>
      <c r="O29">
        <f t="shared" si="32"/>
        <v>8.4000000000000005E-2</v>
      </c>
      <c r="P29">
        <f t="shared" si="33"/>
        <v>7.7000000000000013E-2</v>
      </c>
      <c r="Q29">
        <f t="shared" si="34"/>
        <v>4.2000000000000003E-2</v>
      </c>
      <c r="R29">
        <f t="shared" si="35"/>
        <v>4.9000000000000002E-2</v>
      </c>
      <c r="S29">
        <v>1</v>
      </c>
      <c r="T29">
        <v>-1</v>
      </c>
      <c r="U29">
        <f t="shared" si="36"/>
        <v>1.01</v>
      </c>
      <c r="V29">
        <f t="shared" si="37"/>
        <v>0.126</v>
      </c>
      <c r="W29">
        <f t="shared" si="38"/>
        <v>0.70699999999999996</v>
      </c>
      <c r="X29">
        <f t="shared" si="39"/>
        <v>0.17304000000000003</v>
      </c>
      <c r="Y29">
        <f t="shared" si="40"/>
        <v>1.0584000000000001E-2</v>
      </c>
      <c r="Z29">
        <v>-0.8</v>
      </c>
      <c r="AA29">
        <f t="shared" si="27"/>
        <v>0.57534175999999992</v>
      </c>
    </row>
    <row r="30" spans="1:28" x14ac:dyDescent="0.2">
      <c r="A30">
        <v>0.1</v>
      </c>
      <c r="B30">
        <v>7.0000000000000007E-2</v>
      </c>
      <c r="C30">
        <v>0.03</v>
      </c>
      <c r="D30">
        <v>0.04</v>
      </c>
      <c r="E30">
        <v>-1.2</v>
      </c>
      <c r="F30">
        <v>-1.1000000000000001</v>
      </c>
      <c r="G30">
        <v>-0.6</v>
      </c>
      <c r="H30">
        <v>-0.7</v>
      </c>
      <c r="I30">
        <v>-0.5</v>
      </c>
      <c r="J30">
        <v>-7.0000000000000007E-2</v>
      </c>
      <c r="K30">
        <f t="shared" si="28"/>
        <v>0.7</v>
      </c>
      <c r="L30">
        <f t="shared" si="29"/>
        <v>0.62000000000000011</v>
      </c>
      <c r="M30">
        <f t="shared" si="30"/>
        <v>0.32999999999999996</v>
      </c>
      <c r="N30">
        <f t="shared" si="31"/>
        <v>0.38999999999999996</v>
      </c>
      <c r="O30">
        <f t="shared" si="32"/>
        <v>8.4000000000000005E-2</v>
      </c>
      <c r="P30">
        <f t="shared" si="33"/>
        <v>7.7000000000000013E-2</v>
      </c>
      <c r="Q30">
        <f t="shared" si="34"/>
        <v>4.2000000000000003E-2</v>
      </c>
      <c r="R30">
        <f t="shared" si="35"/>
        <v>4.9000000000000002E-2</v>
      </c>
      <c r="S30">
        <v>1</v>
      </c>
      <c r="T30">
        <v>-1</v>
      </c>
      <c r="U30">
        <f t="shared" si="36"/>
        <v>1.01</v>
      </c>
      <c r="V30">
        <f t="shared" si="37"/>
        <v>0.126</v>
      </c>
      <c r="W30">
        <f t="shared" si="38"/>
        <v>0.70699999999999996</v>
      </c>
      <c r="X30">
        <f t="shared" si="39"/>
        <v>0.17304000000000003</v>
      </c>
      <c r="Y30">
        <f t="shared" si="40"/>
        <v>1.0584000000000001E-2</v>
      </c>
      <c r="Z30">
        <v>-0.7</v>
      </c>
      <c r="AA30">
        <f t="shared" si="27"/>
        <v>0.59105816</v>
      </c>
    </row>
    <row r="31" spans="1:28" x14ac:dyDescent="0.2">
      <c r="A31">
        <v>0.1</v>
      </c>
      <c r="B31">
        <v>7.0000000000000007E-2</v>
      </c>
      <c r="C31">
        <v>0.03</v>
      </c>
      <c r="D31">
        <v>0.04</v>
      </c>
      <c r="E31">
        <v>-1.2</v>
      </c>
      <c r="F31">
        <v>-1.1000000000000001</v>
      </c>
      <c r="G31">
        <v>-0.6</v>
      </c>
      <c r="H31">
        <v>-0.7</v>
      </c>
      <c r="I31">
        <v>-0.5</v>
      </c>
      <c r="J31">
        <v>-7.0000000000000007E-2</v>
      </c>
      <c r="K31">
        <f t="shared" si="28"/>
        <v>0.7</v>
      </c>
      <c r="L31">
        <f t="shared" si="29"/>
        <v>0.62000000000000011</v>
      </c>
      <c r="M31">
        <f t="shared" si="30"/>
        <v>0.32999999999999996</v>
      </c>
      <c r="N31">
        <f t="shared" si="31"/>
        <v>0.38999999999999996</v>
      </c>
      <c r="O31">
        <f t="shared" si="32"/>
        <v>8.4000000000000005E-2</v>
      </c>
      <c r="P31">
        <f t="shared" si="33"/>
        <v>7.7000000000000013E-2</v>
      </c>
      <c r="Q31">
        <f t="shared" si="34"/>
        <v>4.2000000000000003E-2</v>
      </c>
      <c r="R31">
        <f t="shared" si="35"/>
        <v>4.9000000000000002E-2</v>
      </c>
      <c r="S31">
        <v>1</v>
      </c>
      <c r="T31">
        <v>-1</v>
      </c>
      <c r="U31">
        <f t="shared" si="36"/>
        <v>1.01</v>
      </c>
      <c r="V31">
        <f t="shared" si="37"/>
        <v>0.126</v>
      </c>
      <c r="W31">
        <f t="shared" si="38"/>
        <v>0.70699999999999996</v>
      </c>
      <c r="X31">
        <f t="shared" si="39"/>
        <v>0.17304000000000003</v>
      </c>
      <c r="Y31">
        <f t="shared" si="40"/>
        <v>1.0584000000000001E-2</v>
      </c>
      <c r="Z31">
        <v>-0.6</v>
      </c>
      <c r="AA31">
        <f t="shared" si="27"/>
        <v>0.6069862399999999</v>
      </c>
    </row>
    <row r="32" spans="1:28" x14ac:dyDescent="0.2">
      <c r="A32">
        <v>0.1</v>
      </c>
      <c r="B32">
        <v>7.0000000000000007E-2</v>
      </c>
      <c r="C32">
        <v>0.03</v>
      </c>
      <c r="D32">
        <v>0.04</v>
      </c>
      <c r="E32">
        <v>-1.2</v>
      </c>
      <c r="F32">
        <v>-1.1000000000000001</v>
      </c>
      <c r="G32">
        <v>-0.6</v>
      </c>
      <c r="H32">
        <v>-0.7</v>
      </c>
      <c r="I32">
        <v>-0.5</v>
      </c>
      <c r="J32">
        <v>-7.0000000000000007E-2</v>
      </c>
      <c r="K32">
        <f t="shared" si="28"/>
        <v>0.7</v>
      </c>
      <c r="L32">
        <f t="shared" si="29"/>
        <v>0.62000000000000011</v>
      </c>
      <c r="M32">
        <f t="shared" si="30"/>
        <v>0.32999999999999996</v>
      </c>
      <c r="N32">
        <f t="shared" si="31"/>
        <v>0.38999999999999996</v>
      </c>
      <c r="O32">
        <f t="shared" si="32"/>
        <v>8.4000000000000005E-2</v>
      </c>
      <c r="P32">
        <f t="shared" si="33"/>
        <v>7.7000000000000013E-2</v>
      </c>
      <c r="Q32">
        <f t="shared" si="34"/>
        <v>4.2000000000000003E-2</v>
      </c>
      <c r="R32">
        <f t="shared" si="35"/>
        <v>4.9000000000000002E-2</v>
      </c>
      <c r="S32">
        <v>1</v>
      </c>
      <c r="T32">
        <v>-1</v>
      </c>
      <c r="U32">
        <f t="shared" si="36"/>
        <v>1.01</v>
      </c>
      <c r="V32">
        <f t="shared" si="37"/>
        <v>0.126</v>
      </c>
      <c r="W32">
        <f t="shared" si="38"/>
        <v>0.70699999999999996</v>
      </c>
      <c r="X32">
        <f t="shared" si="39"/>
        <v>0.17304000000000003</v>
      </c>
      <c r="Y32">
        <f t="shared" si="40"/>
        <v>1.0584000000000001E-2</v>
      </c>
      <c r="Z32">
        <v>-0.5</v>
      </c>
      <c r="AA32">
        <f t="shared" si="27"/>
        <v>0.62312599999999996</v>
      </c>
    </row>
    <row r="33" spans="1:27" x14ac:dyDescent="0.2">
      <c r="A33">
        <v>0.1</v>
      </c>
      <c r="B33">
        <v>7.0000000000000007E-2</v>
      </c>
      <c r="C33">
        <v>0.03</v>
      </c>
      <c r="D33">
        <v>0.04</v>
      </c>
      <c r="E33">
        <v>-1.2</v>
      </c>
      <c r="F33">
        <v>-1.1000000000000001</v>
      </c>
      <c r="G33">
        <v>-0.6</v>
      </c>
      <c r="H33">
        <v>-0.7</v>
      </c>
      <c r="I33">
        <v>-0.5</v>
      </c>
      <c r="J33">
        <v>-7.0000000000000007E-2</v>
      </c>
      <c r="K33">
        <f t="shared" si="28"/>
        <v>0.7</v>
      </c>
      <c r="L33">
        <f t="shared" si="29"/>
        <v>0.62000000000000011</v>
      </c>
      <c r="M33">
        <f t="shared" si="30"/>
        <v>0.32999999999999996</v>
      </c>
      <c r="N33">
        <f t="shared" si="31"/>
        <v>0.38999999999999996</v>
      </c>
      <c r="O33">
        <f t="shared" si="32"/>
        <v>8.4000000000000005E-2</v>
      </c>
      <c r="P33">
        <f t="shared" si="33"/>
        <v>7.7000000000000013E-2</v>
      </c>
      <c r="Q33">
        <f t="shared" si="34"/>
        <v>4.2000000000000003E-2</v>
      </c>
      <c r="R33">
        <f t="shared" si="35"/>
        <v>4.9000000000000002E-2</v>
      </c>
      <c r="S33">
        <v>1</v>
      </c>
      <c r="T33">
        <v>-1</v>
      </c>
      <c r="U33">
        <f t="shared" si="36"/>
        <v>1.01</v>
      </c>
      <c r="V33">
        <f t="shared" si="37"/>
        <v>0.126</v>
      </c>
      <c r="W33">
        <f t="shared" si="38"/>
        <v>0.70699999999999996</v>
      </c>
      <c r="X33">
        <f t="shared" si="39"/>
        <v>0.17304000000000003</v>
      </c>
      <c r="Y33">
        <f t="shared" si="40"/>
        <v>1.0584000000000001E-2</v>
      </c>
      <c r="Z33">
        <v>-0.4</v>
      </c>
      <c r="AA33">
        <f t="shared" si="27"/>
        <v>0.63947743999999995</v>
      </c>
    </row>
    <row r="34" spans="1:27" x14ac:dyDescent="0.2">
      <c r="A34">
        <v>0.1</v>
      </c>
      <c r="B34">
        <v>7.0000000000000007E-2</v>
      </c>
      <c r="C34">
        <v>0.03</v>
      </c>
      <c r="D34">
        <v>0.04</v>
      </c>
      <c r="E34">
        <v>-1.2</v>
      </c>
      <c r="F34">
        <v>-1.1000000000000001</v>
      </c>
      <c r="G34">
        <v>-0.6</v>
      </c>
      <c r="H34">
        <v>-0.7</v>
      </c>
      <c r="I34">
        <v>-0.5</v>
      </c>
      <c r="J34">
        <v>-7.0000000000000007E-2</v>
      </c>
      <c r="K34">
        <f t="shared" si="28"/>
        <v>0.7</v>
      </c>
      <c r="L34">
        <f t="shared" si="29"/>
        <v>0.62000000000000011</v>
      </c>
      <c r="M34">
        <f t="shared" si="30"/>
        <v>0.32999999999999996</v>
      </c>
      <c r="N34">
        <f t="shared" si="31"/>
        <v>0.38999999999999996</v>
      </c>
      <c r="O34">
        <f t="shared" si="32"/>
        <v>8.4000000000000005E-2</v>
      </c>
      <c r="P34">
        <f t="shared" si="33"/>
        <v>7.7000000000000013E-2</v>
      </c>
      <c r="Q34">
        <f t="shared" si="34"/>
        <v>4.2000000000000003E-2</v>
      </c>
      <c r="R34">
        <f t="shared" si="35"/>
        <v>4.9000000000000002E-2</v>
      </c>
      <c r="S34">
        <v>1</v>
      </c>
      <c r="T34">
        <v>-1</v>
      </c>
      <c r="U34">
        <f t="shared" si="36"/>
        <v>1.01</v>
      </c>
      <c r="V34">
        <f t="shared" si="37"/>
        <v>0.126</v>
      </c>
      <c r="W34">
        <f t="shared" si="38"/>
        <v>0.70699999999999996</v>
      </c>
      <c r="X34">
        <f t="shared" si="39"/>
        <v>0.17304000000000003</v>
      </c>
      <c r="Y34">
        <f t="shared" si="40"/>
        <v>1.0584000000000001E-2</v>
      </c>
      <c r="Z34">
        <v>-0.3</v>
      </c>
      <c r="AA34">
        <f t="shared" si="27"/>
        <v>0.65604055999999999</v>
      </c>
    </row>
    <row r="35" spans="1:27" x14ac:dyDescent="0.2">
      <c r="A35">
        <v>0.1</v>
      </c>
      <c r="B35">
        <v>7.0000000000000007E-2</v>
      </c>
      <c r="C35">
        <v>0.03</v>
      </c>
      <c r="D35">
        <v>0.04</v>
      </c>
      <c r="E35">
        <v>-1.2</v>
      </c>
      <c r="F35">
        <v>-1.1000000000000001</v>
      </c>
      <c r="G35">
        <v>-0.6</v>
      </c>
      <c r="H35">
        <v>-0.7</v>
      </c>
      <c r="I35">
        <v>-0.5</v>
      </c>
      <c r="J35">
        <v>-7.0000000000000007E-2</v>
      </c>
      <c r="K35">
        <f t="shared" si="28"/>
        <v>0.7</v>
      </c>
      <c r="L35">
        <f t="shared" si="29"/>
        <v>0.62000000000000011</v>
      </c>
      <c r="M35">
        <f t="shared" si="30"/>
        <v>0.32999999999999996</v>
      </c>
      <c r="N35">
        <f t="shared" si="31"/>
        <v>0.38999999999999996</v>
      </c>
      <c r="O35">
        <f t="shared" si="32"/>
        <v>8.4000000000000005E-2</v>
      </c>
      <c r="P35">
        <f t="shared" si="33"/>
        <v>7.7000000000000013E-2</v>
      </c>
      <c r="Q35">
        <f t="shared" si="34"/>
        <v>4.2000000000000003E-2</v>
      </c>
      <c r="R35">
        <f t="shared" si="35"/>
        <v>4.9000000000000002E-2</v>
      </c>
      <c r="S35">
        <v>1</v>
      </c>
      <c r="T35">
        <v>-1</v>
      </c>
      <c r="U35">
        <f t="shared" si="36"/>
        <v>1.01</v>
      </c>
      <c r="V35">
        <f t="shared" si="37"/>
        <v>0.126</v>
      </c>
      <c r="W35">
        <f t="shared" si="38"/>
        <v>0.70699999999999996</v>
      </c>
      <c r="X35">
        <f t="shared" si="39"/>
        <v>0.17304000000000003</v>
      </c>
      <c r="Y35">
        <f t="shared" si="40"/>
        <v>1.0584000000000001E-2</v>
      </c>
      <c r="Z35">
        <v>-0.2</v>
      </c>
      <c r="AA35">
        <f t="shared" si="27"/>
        <v>0.67281535999999997</v>
      </c>
    </row>
    <row r="36" spans="1:27" x14ac:dyDescent="0.2">
      <c r="A36">
        <v>0.1</v>
      </c>
      <c r="B36">
        <v>7.0000000000000007E-2</v>
      </c>
      <c r="C36">
        <v>0.03</v>
      </c>
      <c r="D36">
        <v>0.04</v>
      </c>
      <c r="E36">
        <v>-1.2</v>
      </c>
      <c r="F36">
        <v>-1.1000000000000001</v>
      </c>
      <c r="G36">
        <v>-0.6</v>
      </c>
      <c r="H36">
        <v>-0.7</v>
      </c>
      <c r="I36">
        <v>-0.5</v>
      </c>
      <c r="J36">
        <v>-7.0000000000000007E-2</v>
      </c>
      <c r="K36">
        <f t="shared" si="28"/>
        <v>0.7</v>
      </c>
      <c r="L36">
        <f t="shared" si="29"/>
        <v>0.62000000000000011</v>
      </c>
      <c r="M36">
        <f t="shared" si="30"/>
        <v>0.32999999999999996</v>
      </c>
      <c r="N36">
        <f t="shared" si="31"/>
        <v>0.38999999999999996</v>
      </c>
      <c r="O36">
        <f t="shared" si="32"/>
        <v>8.4000000000000005E-2</v>
      </c>
      <c r="P36">
        <f t="shared" si="33"/>
        <v>7.7000000000000013E-2</v>
      </c>
      <c r="Q36">
        <f t="shared" si="34"/>
        <v>4.2000000000000003E-2</v>
      </c>
      <c r="R36">
        <f t="shared" si="35"/>
        <v>4.9000000000000002E-2</v>
      </c>
      <c r="S36">
        <v>1</v>
      </c>
      <c r="T36">
        <v>-1</v>
      </c>
      <c r="U36">
        <f t="shared" si="36"/>
        <v>1.01</v>
      </c>
      <c r="V36">
        <f t="shared" si="37"/>
        <v>0.126</v>
      </c>
      <c r="W36">
        <f t="shared" si="38"/>
        <v>0.70699999999999996</v>
      </c>
      <c r="X36">
        <f t="shared" si="39"/>
        <v>0.17304000000000003</v>
      </c>
      <c r="Y36">
        <f t="shared" si="40"/>
        <v>1.0584000000000001E-2</v>
      </c>
      <c r="Z36">
        <v>-0.1</v>
      </c>
      <c r="AA36">
        <f t="shared" si="27"/>
        <v>0.68980184</v>
      </c>
    </row>
    <row r="37" spans="1:27" x14ac:dyDescent="0.2">
      <c r="A37">
        <v>0.1</v>
      </c>
      <c r="B37">
        <v>7.0000000000000007E-2</v>
      </c>
      <c r="C37">
        <v>0.03</v>
      </c>
      <c r="D37">
        <v>0.04</v>
      </c>
      <c r="E37">
        <v>-1.2</v>
      </c>
      <c r="F37">
        <v>-1.1000000000000001</v>
      </c>
      <c r="G37">
        <v>-0.6</v>
      </c>
      <c r="H37">
        <v>-0.7</v>
      </c>
      <c r="I37">
        <v>-0.5</v>
      </c>
      <c r="J37">
        <v>-7.0000000000000007E-2</v>
      </c>
      <c r="K37">
        <f t="shared" si="28"/>
        <v>0.7</v>
      </c>
      <c r="L37">
        <f t="shared" si="29"/>
        <v>0.62000000000000011</v>
      </c>
      <c r="M37">
        <f t="shared" si="30"/>
        <v>0.32999999999999996</v>
      </c>
      <c r="N37">
        <f t="shared" si="31"/>
        <v>0.38999999999999996</v>
      </c>
      <c r="O37">
        <f t="shared" si="32"/>
        <v>8.4000000000000005E-2</v>
      </c>
      <c r="P37">
        <f t="shared" si="33"/>
        <v>7.7000000000000013E-2</v>
      </c>
      <c r="Q37">
        <f t="shared" si="34"/>
        <v>4.2000000000000003E-2</v>
      </c>
      <c r="R37">
        <f t="shared" si="35"/>
        <v>4.9000000000000002E-2</v>
      </c>
      <c r="S37">
        <v>1</v>
      </c>
      <c r="T37">
        <v>-1</v>
      </c>
      <c r="U37">
        <f t="shared" si="36"/>
        <v>1.01</v>
      </c>
      <c r="V37">
        <f t="shared" si="37"/>
        <v>0.126</v>
      </c>
      <c r="W37">
        <f t="shared" si="38"/>
        <v>0.70699999999999996</v>
      </c>
      <c r="X37">
        <f t="shared" si="39"/>
        <v>0.17304000000000003</v>
      </c>
      <c r="Y37">
        <f t="shared" si="40"/>
        <v>1.0584000000000001E-2</v>
      </c>
      <c r="Z37">
        <v>0</v>
      </c>
      <c r="AA37">
        <f t="shared" si="27"/>
        <v>0.70699999999999996</v>
      </c>
    </row>
    <row r="38" spans="1:27" x14ac:dyDescent="0.2">
      <c r="A38">
        <v>0.1</v>
      </c>
      <c r="B38">
        <v>7.0000000000000007E-2</v>
      </c>
      <c r="C38">
        <v>0.03</v>
      </c>
      <c r="D38">
        <v>0.04</v>
      </c>
      <c r="E38">
        <v>-1.2</v>
      </c>
      <c r="F38">
        <v>-1.1000000000000001</v>
      </c>
      <c r="G38">
        <v>-0.6</v>
      </c>
      <c r="H38">
        <v>-0.7</v>
      </c>
      <c r="I38">
        <v>-0.5</v>
      </c>
      <c r="J38">
        <v>-7.0000000000000007E-2</v>
      </c>
      <c r="K38">
        <f t="shared" si="28"/>
        <v>0.7</v>
      </c>
      <c r="L38">
        <f t="shared" si="29"/>
        <v>0.62000000000000011</v>
      </c>
      <c r="M38">
        <f t="shared" si="30"/>
        <v>0.32999999999999996</v>
      </c>
      <c r="N38">
        <f t="shared" si="31"/>
        <v>0.38999999999999996</v>
      </c>
      <c r="O38">
        <f t="shared" si="32"/>
        <v>8.4000000000000005E-2</v>
      </c>
      <c r="P38">
        <f t="shared" si="33"/>
        <v>7.7000000000000013E-2</v>
      </c>
      <c r="Q38">
        <f t="shared" si="34"/>
        <v>4.2000000000000003E-2</v>
      </c>
      <c r="R38">
        <f t="shared" si="35"/>
        <v>4.9000000000000002E-2</v>
      </c>
      <c r="S38">
        <v>1</v>
      </c>
      <c r="T38">
        <v>-1</v>
      </c>
      <c r="U38">
        <f t="shared" si="36"/>
        <v>1.01</v>
      </c>
      <c r="V38">
        <f t="shared" si="37"/>
        <v>0.126</v>
      </c>
      <c r="W38">
        <f t="shared" si="38"/>
        <v>0.70699999999999996</v>
      </c>
      <c r="X38">
        <f t="shared" si="39"/>
        <v>0.17304000000000003</v>
      </c>
      <c r="Y38">
        <f t="shared" si="40"/>
        <v>1.0584000000000001E-2</v>
      </c>
      <c r="Z38">
        <v>0.1</v>
      </c>
      <c r="AA38">
        <f t="shared" si="27"/>
        <v>0.72440983999999997</v>
      </c>
    </row>
    <row r="39" spans="1:27" x14ac:dyDescent="0.2">
      <c r="A39">
        <v>0.1</v>
      </c>
      <c r="B39">
        <v>7.0000000000000007E-2</v>
      </c>
      <c r="C39">
        <v>0.03</v>
      </c>
      <c r="D39">
        <v>0.04</v>
      </c>
      <c r="E39">
        <v>-1.2</v>
      </c>
      <c r="F39">
        <v>-1.1000000000000001</v>
      </c>
      <c r="G39">
        <v>-0.6</v>
      </c>
      <c r="H39">
        <v>-0.7</v>
      </c>
      <c r="I39">
        <v>-0.5</v>
      </c>
      <c r="J39">
        <v>-7.0000000000000007E-2</v>
      </c>
      <c r="K39">
        <f t="shared" si="28"/>
        <v>0.7</v>
      </c>
      <c r="L39">
        <f t="shared" si="29"/>
        <v>0.62000000000000011</v>
      </c>
      <c r="M39">
        <f t="shared" si="30"/>
        <v>0.32999999999999996</v>
      </c>
      <c r="N39">
        <f t="shared" si="31"/>
        <v>0.38999999999999996</v>
      </c>
      <c r="O39">
        <f t="shared" si="32"/>
        <v>8.4000000000000005E-2</v>
      </c>
      <c r="P39">
        <f t="shared" si="33"/>
        <v>7.7000000000000013E-2</v>
      </c>
      <c r="Q39">
        <f t="shared" si="34"/>
        <v>4.2000000000000003E-2</v>
      </c>
      <c r="R39">
        <f t="shared" si="35"/>
        <v>4.9000000000000002E-2</v>
      </c>
      <c r="S39">
        <v>1</v>
      </c>
      <c r="T39">
        <v>-1</v>
      </c>
      <c r="U39">
        <f t="shared" si="36"/>
        <v>1.01</v>
      </c>
      <c r="V39">
        <f t="shared" si="37"/>
        <v>0.126</v>
      </c>
      <c r="W39">
        <f t="shared" si="38"/>
        <v>0.70699999999999996</v>
      </c>
      <c r="X39">
        <f t="shared" si="39"/>
        <v>0.17304000000000003</v>
      </c>
      <c r="Y39">
        <f t="shared" si="40"/>
        <v>1.0584000000000001E-2</v>
      </c>
      <c r="Z39">
        <v>0.2</v>
      </c>
      <c r="AA39">
        <f t="shared" si="27"/>
        <v>0.74203135999999992</v>
      </c>
    </row>
    <row r="40" spans="1:27" x14ac:dyDescent="0.2">
      <c r="A40">
        <v>0.1</v>
      </c>
      <c r="B40">
        <v>7.0000000000000007E-2</v>
      </c>
      <c r="C40">
        <v>0.03</v>
      </c>
      <c r="D40">
        <v>0.04</v>
      </c>
      <c r="E40">
        <v>-1.2</v>
      </c>
      <c r="F40">
        <v>-1.1000000000000001</v>
      </c>
      <c r="G40">
        <v>-0.6</v>
      </c>
      <c r="H40">
        <v>-0.7</v>
      </c>
      <c r="I40">
        <v>-0.5</v>
      </c>
      <c r="J40">
        <v>-7.0000000000000007E-2</v>
      </c>
      <c r="K40">
        <f t="shared" si="28"/>
        <v>0.7</v>
      </c>
      <c r="L40">
        <f t="shared" si="29"/>
        <v>0.62000000000000011</v>
      </c>
      <c r="M40">
        <f t="shared" si="30"/>
        <v>0.32999999999999996</v>
      </c>
      <c r="N40">
        <f t="shared" si="31"/>
        <v>0.38999999999999996</v>
      </c>
      <c r="O40">
        <f t="shared" si="32"/>
        <v>8.4000000000000005E-2</v>
      </c>
      <c r="P40">
        <f t="shared" si="33"/>
        <v>7.7000000000000013E-2</v>
      </c>
      <c r="Q40">
        <f t="shared" si="34"/>
        <v>4.2000000000000003E-2</v>
      </c>
      <c r="R40">
        <f t="shared" si="35"/>
        <v>4.9000000000000002E-2</v>
      </c>
      <c r="S40">
        <v>1</v>
      </c>
      <c r="T40">
        <v>-1</v>
      </c>
      <c r="U40">
        <f t="shared" si="36"/>
        <v>1.01</v>
      </c>
      <c r="V40">
        <f t="shared" si="37"/>
        <v>0.126</v>
      </c>
      <c r="W40">
        <f t="shared" si="38"/>
        <v>0.70699999999999996</v>
      </c>
      <c r="X40">
        <f t="shared" si="39"/>
        <v>0.17304000000000003</v>
      </c>
      <c r="Y40">
        <f t="shared" si="40"/>
        <v>1.0584000000000001E-2</v>
      </c>
      <c r="Z40">
        <v>0.3</v>
      </c>
      <c r="AA40">
        <f t="shared" si="27"/>
        <v>0.75986455999999991</v>
      </c>
    </row>
    <row r="41" spans="1:27" x14ac:dyDescent="0.2">
      <c r="A41">
        <v>0.1</v>
      </c>
      <c r="B41">
        <v>7.0000000000000007E-2</v>
      </c>
      <c r="C41">
        <v>0.03</v>
      </c>
      <c r="D41">
        <v>0.04</v>
      </c>
      <c r="E41">
        <v>-1.2</v>
      </c>
      <c r="F41">
        <v>-1.1000000000000001</v>
      </c>
      <c r="G41">
        <v>-0.6</v>
      </c>
      <c r="H41">
        <v>-0.7</v>
      </c>
      <c r="I41">
        <v>-0.5</v>
      </c>
      <c r="J41">
        <v>-7.0000000000000007E-2</v>
      </c>
      <c r="K41">
        <f t="shared" si="28"/>
        <v>0.7</v>
      </c>
      <c r="L41">
        <f t="shared" si="29"/>
        <v>0.62000000000000011</v>
      </c>
      <c r="M41">
        <f t="shared" si="30"/>
        <v>0.32999999999999996</v>
      </c>
      <c r="N41">
        <f t="shared" si="31"/>
        <v>0.38999999999999996</v>
      </c>
      <c r="O41">
        <f t="shared" si="32"/>
        <v>8.4000000000000005E-2</v>
      </c>
      <c r="P41">
        <f t="shared" si="33"/>
        <v>7.7000000000000013E-2</v>
      </c>
      <c r="Q41">
        <f t="shared" si="34"/>
        <v>4.2000000000000003E-2</v>
      </c>
      <c r="R41">
        <f t="shared" si="35"/>
        <v>4.9000000000000002E-2</v>
      </c>
      <c r="S41">
        <v>1</v>
      </c>
      <c r="T41">
        <v>-1</v>
      </c>
      <c r="U41">
        <f t="shared" si="36"/>
        <v>1.01</v>
      </c>
      <c r="V41">
        <f t="shared" si="37"/>
        <v>0.126</v>
      </c>
      <c r="W41">
        <f t="shared" si="38"/>
        <v>0.70699999999999996</v>
      </c>
      <c r="X41">
        <f t="shared" si="39"/>
        <v>0.17304000000000003</v>
      </c>
      <c r="Y41">
        <f t="shared" si="40"/>
        <v>1.0584000000000001E-2</v>
      </c>
      <c r="Z41">
        <v>0.4</v>
      </c>
      <c r="AA41">
        <f t="shared" si="27"/>
        <v>0.77790944000000006</v>
      </c>
    </row>
    <row r="42" spans="1:27" x14ac:dyDescent="0.2">
      <c r="A42">
        <v>0.1</v>
      </c>
      <c r="B42">
        <v>7.0000000000000007E-2</v>
      </c>
      <c r="C42">
        <v>0.03</v>
      </c>
      <c r="D42">
        <v>0.04</v>
      </c>
      <c r="E42">
        <v>-1.2</v>
      </c>
      <c r="F42">
        <v>-1.1000000000000001</v>
      </c>
      <c r="G42">
        <v>-0.6</v>
      </c>
      <c r="H42">
        <v>-0.7</v>
      </c>
      <c r="I42">
        <v>-0.5</v>
      </c>
      <c r="J42">
        <v>-7.0000000000000007E-2</v>
      </c>
      <c r="K42">
        <f t="shared" si="28"/>
        <v>0.7</v>
      </c>
      <c r="L42">
        <f t="shared" si="29"/>
        <v>0.62000000000000011</v>
      </c>
      <c r="M42">
        <f t="shared" si="30"/>
        <v>0.32999999999999996</v>
      </c>
      <c r="N42">
        <f t="shared" si="31"/>
        <v>0.38999999999999996</v>
      </c>
      <c r="O42">
        <f t="shared" si="32"/>
        <v>8.4000000000000005E-2</v>
      </c>
      <c r="P42">
        <f t="shared" si="33"/>
        <v>7.7000000000000013E-2</v>
      </c>
      <c r="Q42">
        <f t="shared" si="34"/>
        <v>4.2000000000000003E-2</v>
      </c>
      <c r="R42">
        <f t="shared" si="35"/>
        <v>4.9000000000000002E-2</v>
      </c>
      <c r="S42">
        <v>1</v>
      </c>
      <c r="T42">
        <v>-1</v>
      </c>
      <c r="U42">
        <f t="shared" si="36"/>
        <v>1.01</v>
      </c>
      <c r="V42">
        <f t="shared" si="37"/>
        <v>0.126</v>
      </c>
      <c r="W42">
        <f t="shared" si="38"/>
        <v>0.70699999999999996</v>
      </c>
      <c r="X42">
        <f t="shared" si="39"/>
        <v>0.17304000000000003</v>
      </c>
      <c r="Y42">
        <f t="shared" si="40"/>
        <v>1.0584000000000001E-2</v>
      </c>
      <c r="Z42">
        <v>0.5</v>
      </c>
      <c r="AA42">
        <f t="shared" si="27"/>
        <v>0.79616600000000004</v>
      </c>
    </row>
    <row r="43" spans="1:27" x14ac:dyDescent="0.2">
      <c r="A43">
        <v>0.1</v>
      </c>
      <c r="B43">
        <v>7.0000000000000007E-2</v>
      </c>
      <c r="C43">
        <v>0.03</v>
      </c>
      <c r="D43">
        <v>0.04</v>
      </c>
      <c r="E43">
        <v>-1.2</v>
      </c>
      <c r="F43">
        <v>-1.1000000000000001</v>
      </c>
      <c r="G43">
        <v>-0.6</v>
      </c>
      <c r="H43">
        <v>-0.7</v>
      </c>
      <c r="I43">
        <v>-0.5</v>
      </c>
      <c r="J43">
        <v>-7.0000000000000007E-2</v>
      </c>
      <c r="K43">
        <f t="shared" si="28"/>
        <v>0.7</v>
      </c>
      <c r="L43">
        <f t="shared" si="29"/>
        <v>0.62000000000000011</v>
      </c>
      <c r="M43">
        <f t="shared" si="30"/>
        <v>0.32999999999999996</v>
      </c>
      <c r="N43">
        <f t="shared" si="31"/>
        <v>0.38999999999999996</v>
      </c>
      <c r="O43">
        <f t="shared" si="32"/>
        <v>8.4000000000000005E-2</v>
      </c>
      <c r="P43">
        <f t="shared" si="33"/>
        <v>7.7000000000000013E-2</v>
      </c>
      <c r="Q43">
        <f t="shared" si="34"/>
        <v>4.2000000000000003E-2</v>
      </c>
      <c r="R43">
        <f t="shared" si="35"/>
        <v>4.9000000000000002E-2</v>
      </c>
      <c r="S43">
        <v>1</v>
      </c>
      <c r="T43">
        <v>-1</v>
      </c>
      <c r="U43">
        <f t="shared" si="36"/>
        <v>1.01</v>
      </c>
      <c r="V43">
        <f t="shared" si="37"/>
        <v>0.126</v>
      </c>
      <c r="W43">
        <f t="shared" si="38"/>
        <v>0.70699999999999996</v>
      </c>
      <c r="X43">
        <f t="shared" si="39"/>
        <v>0.17304000000000003</v>
      </c>
      <c r="Y43">
        <f t="shared" si="40"/>
        <v>1.0584000000000001E-2</v>
      </c>
      <c r="Z43">
        <v>0.6</v>
      </c>
      <c r="AA43">
        <f t="shared" si="27"/>
        <v>0.81463423999999995</v>
      </c>
    </row>
    <row r="44" spans="1:27" x14ac:dyDescent="0.2">
      <c r="A44">
        <v>0.1</v>
      </c>
      <c r="B44">
        <v>7.0000000000000007E-2</v>
      </c>
      <c r="C44">
        <v>0.03</v>
      </c>
      <c r="D44">
        <v>0.04</v>
      </c>
      <c r="E44">
        <v>-1.2</v>
      </c>
      <c r="F44">
        <v>-1.1000000000000001</v>
      </c>
      <c r="G44">
        <v>-0.6</v>
      </c>
      <c r="H44">
        <v>-0.7</v>
      </c>
      <c r="I44">
        <v>-0.5</v>
      </c>
      <c r="J44">
        <v>-7.0000000000000007E-2</v>
      </c>
      <c r="K44">
        <f t="shared" si="28"/>
        <v>0.7</v>
      </c>
      <c r="L44">
        <f t="shared" si="29"/>
        <v>0.62000000000000011</v>
      </c>
      <c r="M44">
        <f t="shared" si="30"/>
        <v>0.32999999999999996</v>
      </c>
      <c r="N44">
        <f t="shared" si="31"/>
        <v>0.38999999999999996</v>
      </c>
      <c r="O44">
        <f t="shared" si="32"/>
        <v>8.4000000000000005E-2</v>
      </c>
      <c r="P44">
        <f t="shared" si="33"/>
        <v>7.7000000000000013E-2</v>
      </c>
      <c r="Q44">
        <f t="shared" si="34"/>
        <v>4.2000000000000003E-2</v>
      </c>
      <c r="R44">
        <f t="shared" si="35"/>
        <v>4.9000000000000002E-2</v>
      </c>
      <c r="S44">
        <v>1</v>
      </c>
      <c r="T44">
        <v>-1</v>
      </c>
      <c r="U44">
        <f t="shared" si="36"/>
        <v>1.01</v>
      </c>
      <c r="V44">
        <f t="shared" si="37"/>
        <v>0.126</v>
      </c>
      <c r="W44">
        <f t="shared" si="38"/>
        <v>0.70699999999999996</v>
      </c>
      <c r="X44">
        <f t="shared" si="39"/>
        <v>0.17304000000000003</v>
      </c>
      <c r="Y44">
        <f t="shared" si="40"/>
        <v>1.0584000000000001E-2</v>
      </c>
      <c r="Z44">
        <v>0.7</v>
      </c>
      <c r="AA44">
        <f t="shared" si="27"/>
        <v>0.83331416000000003</v>
      </c>
    </row>
    <row r="45" spans="1:27" x14ac:dyDescent="0.2">
      <c r="A45">
        <v>0.1</v>
      </c>
      <c r="B45">
        <v>7.0000000000000007E-2</v>
      </c>
      <c r="C45">
        <v>0.03</v>
      </c>
      <c r="D45">
        <v>0.04</v>
      </c>
      <c r="E45">
        <v>-1.2</v>
      </c>
      <c r="F45">
        <v>-1.1000000000000001</v>
      </c>
      <c r="G45">
        <v>-0.6</v>
      </c>
      <c r="H45">
        <v>-0.7</v>
      </c>
      <c r="I45">
        <v>-0.5</v>
      </c>
      <c r="J45">
        <v>-7.0000000000000007E-2</v>
      </c>
      <c r="K45">
        <f t="shared" si="28"/>
        <v>0.7</v>
      </c>
      <c r="L45">
        <f t="shared" si="29"/>
        <v>0.62000000000000011</v>
      </c>
      <c r="M45">
        <f t="shared" si="30"/>
        <v>0.32999999999999996</v>
      </c>
      <c r="N45">
        <f t="shared" si="31"/>
        <v>0.38999999999999996</v>
      </c>
      <c r="O45">
        <f t="shared" si="32"/>
        <v>8.4000000000000005E-2</v>
      </c>
      <c r="P45">
        <f t="shared" si="33"/>
        <v>7.7000000000000013E-2</v>
      </c>
      <c r="Q45">
        <f t="shared" si="34"/>
        <v>4.2000000000000003E-2</v>
      </c>
      <c r="R45">
        <f t="shared" si="35"/>
        <v>4.9000000000000002E-2</v>
      </c>
      <c r="S45">
        <v>1</v>
      </c>
      <c r="T45">
        <v>-1</v>
      </c>
      <c r="U45">
        <f t="shared" si="36"/>
        <v>1.01</v>
      </c>
      <c r="V45">
        <f t="shared" si="37"/>
        <v>0.126</v>
      </c>
      <c r="W45">
        <f t="shared" si="38"/>
        <v>0.70699999999999996</v>
      </c>
      <c r="X45">
        <f t="shared" si="39"/>
        <v>0.17304000000000003</v>
      </c>
      <c r="Y45">
        <f t="shared" si="40"/>
        <v>1.0584000000000001E-2</v>
      </c>
      <c r="Z45">
        <v>0.8</v>
      </c>
      <c r="AA45">
        <f t="shared" si="27"/>
        <v>0.85220575999999992</v>
      </c>
    </row>
    <row r="46" spans="1:27" x14ac:dyDescent="0.2">
      <c r="A46">
        <v>0.1</v>
      </c>
      <c r="B46">
        <v>7.0000000000000007E-2</v>
      </c>
      <c r="C46">
        <v>0.03</v>
      </c>
      <c r="D46">
        <v>0.04</v>
      </c>
      <c r="E46">
        <v>-1.2</v>
      </c>
      <c r="F46">
        <v>-1.1000000000000001</v>
      </c>
      <c r="G46">
        <v>-0.6</v>
      </c>
      <c r="H46">
        <v>-0.7</v>
      </c>
      <c r="I46">
        <v>-0.5</v>
      </c>
      <c r="J46">
        <v>-7.0000000000000007E-2</v>
      </c>
      <c r="K46">
        <f t="shared" si="28"/>
        <v>0.7</v>
      </c>
      <c r="L46">
        <f t="shared" si="29"/>
        <v>0.62000000000000011</v>
      </c>
      <c r="M46">
        <f t="shared" si="30"/>
        <v>0.32999999999999996</v>
      </c>
      <c r="N46">
        <f t="shared" si="31"/>
        <v>0.38999999999999996</v>
      </c>
      <c r="O46">
        <f t="shared" si="32"/>
        <v>8.4000000000000005E-2</v>
      </c>
      <c r="P46">
        <f t="shared" si="33"/>
        <v>7.7000000000000013E-2</v>
      </c>
      <c r="Q46">
        <f t="shared" si="34"/>
        <v>4.2000000000000003E-2</v>
      </c>
      <c r="R46">
        <f t="shared" si="35"/>
        <v>4.9000000000000002E-2</v>
      </c>
      <c r="S46">
        <v>1</v>
      </c>
      <c r="T46">
        <v>-1</v>
      </c>
      <c r="U46">
        <f t="shared" si="36"/>
        <v>1.01</v>
      </c>
      <c r="V46">
        <f t="shared" si="37"/>
        <v>0.126</v>
      </c>
      <c r="W46">
        <f t="shared" si="38"/>
        <v>0.70699999999999996</v>
      </c>
      <c r="X46">
        <f t="shared" si="39"/>
        <v>0.17304000000000003</v>
      </c>
      <c r="Y46">
        <f t="shared" si="40"/>
        <v>1.0584000000000001E-2</v>
      </c>
      <c r="Z46">
        <v>0.9</v>
      </c>
      <c r="AA46">
        <f t="shared" si="27"/>
        <v>0.87130903999999998</v>
      </c>
    </row>
    <row r="47" spans="1:27" x14ac:dyDescent="0.2">
      <c r="A47">
        <v>0.1</v>
      </c>
      <c r="B47">
        <v>7.0000000000000007E-2</v>
      </c>
      <c r="C47">
        <v>0.03</v>
      </c>
      <c r="D47">
        <v>0.04</v>
      </c>
      <c r="E47">
        <v>-1.2</v>
      </c>
      <c r="F47">
        <v>-1.1000000000000001</v>
      </c>
      <c r="G47">
        <v>-0.6</v>
      </c>
      <c r="H47">
        <v>-0.7</v>
      </c>
      <c r="I47">
        <v>-0.5</v>
      </c>
      <c r="J47">
        <v>-7.0000000000000007E-2</v>
      </c>
      <c r="K47">
        <f t="shared" si="28"/>
        <v>0.7</v>
      </c>
      <c r="L47">
        <f t="shared" si="29"/>
        <v>0.62000000000000011</v>
      </c>
      <c r="M47">
        <f t="shared" si="30"/>
        <v>0.32999999999999996</v>
      </c>
      <c r="N47">
        <f t="shared" si="31"/>
        <v>0.38999999999999996</v>
      </c>
      <c r="O47">
        <f t="shared" si="32"/>
        <v>8.4000000000000005E-2</v>
      </c>
      <c r="P47">
        <f t="shared" si="33"/>
        <v>7.7000000000000013E-2</v>
      </c>
      <c r="Q47">
        <f t="shared" si="34"/>
        <v>4.2000000000000003E-2</v>
      </c>
      <c r="R47">
        <f t="shared" si="35"/>
        <v>4.9000000000000002E-2</v>
      </c>
      <c r="S47">
        <v>1</v>
      </c>
      <c r="T47">
        <v>-1</v>
      </c>
      <c r="U47">
        <f t="shared" si="36"/>
        <v>1.01</v>
      </c>
      <c r="V47">
        <f t="shared" si="37"/>
        <v>0.126</v>
      </c>
      <c r="W47">
        <f t="shared" si="38"/>
        <v>0.70699999999999996</v>
      </c>
      <c r="X47">
        <f t="shared" si="39"/>
        <v>0.17304000000000003</v>
      </c>
      <c r="Y47">
        <f t="shared" si="40"/>
        <v>1.0584000000000001E-2</v>
      </c>
      <c r="Z47">
        <v>1</v>
      </c>
      <c r="AA47">
        <f t="shared" si="27"/>
        <v>0.89062399999999997</v>
      </c>
    </row>
    <row r="48" spans="1:27" x14ac:dyDescent="0.2">
      <c r="A48">
        <v>0.1</v>
      </c>
      <c r="B48">
        <v>7.0000000000000007E-2</v>
      </c>
      <c r="C48">
        <v>0.03</v>
      </c>
      <c r="D48">
        <v>0.04</v>
      </c>
      <c r="E48">
        <v>-1.2</v>
      </c>
      <c r="F48">
        <v>-1.1000000000000001</v>
      </c>
      <c r="G48">
        <v>-0.6</v>
      </c>
      <c r="H48">
        <v>-0.7</v>
      </c>
      <c r="I48">
        <v>-0.5</v>
      </c>
      <c r="J48">
        <v>-7.0000000000000007E-2</v>
      </c>
      <c r="K48">
        <f t="shared" si="28"/>
        <v>0.7</v>
      </c>
      <c r="L48">
        <f t="shared" si="29"/>
        <v>0.62000000000000011</v>
      </c>
      <c r="M48">
        <f t="shared" si="30"/>
        <v>0.32999999999999996</v>
      </c>
      <c r="N48">
        <f t="shared" si="31"/>
        <v>0.38999999999999996</v>
      </c>
      <c r="O48">
        <f t="shared" si="32"/>
        <v>8.4000000000000005E-2</v>
      </c>
      <c r="P48">
        <f t="shared" si="33"/>
        <v>7.7000000000000013E-2</v>
      </c>
      <c r="Q48">
        <f t="shared" si="34"/>
        <v>4.2000000000000003E-2</v>
      </c>
      <c r="R48">
        <f t="shared" si="35"/>
        <v>4.9000000000000002E-2</v>
      </c>
      <c r="S48">
        <v>1</v>
      </c>
      <c r="T48">
        <v>-1</v>
      </c>
      <c r="U48">
        <f t="shared" si="36"/>
        <v>1.01</v>
      </c>
      <c r="V48">
        <f t="shared" si="37"/>
        <v>0.126</v>
      </c>
      <c r="W48">
        <f t="shared" si="38"/>
        <v>0.70699999999999996</v>
      </c>
      <c r="X48">
        <f t="shared" si="39"/>
        <v>0.17304000000000003</v>
      </c>
      <c r="Y48">
        <f t="shared" si="40"/>
        <v>1.0584000000000001E-2</v>
      </c>
      <c r="Z48">
        <v>1.1000000000000001</v>
      </c>
      <c r="AA48">
        <f t="shared" si="27"/>
        <v>0.91015064000000001</v>
      </c>
    </row>
    <row r="49" spans="1:28" x14ac:dyDescent="0.2">
      <c r="A49">
        <v>0.1</v>
      </c>
      <c r="B49">
        <v>7.0000000000000007E-2</v>
      </c>
      <c r="C49">
        <v>0.03</v>
      </c>
      <c r="D49">
        <v>0.04</v>
      </c>
      <c r="E49">
        <v>-1.2</v>
      </c>
      <c r="F49">
        <v>-1.1000000000000001</v>
      </c>
      <c r="G49">
        <v>-0.6</v>
      </c>
      <c r="H49">
        <v>-0.7</v>
      </c>
      <c r="I49">
        <v>-0.5</v>
      </c>
      <c r="J49">
        <v>-7.0000000000000007E-2</v>
      </c>
      <c r="K49">
        <f t="shared" si="28"/>
        <v>0.7</v>
      </c>
      <c r="L49">
        <f t="shared" si="29"/>
        <v>0.62000000000000011</v>
      </c>
      <c r="M49">
        <f t="shared" si="30"/>
        <v>0.32999999999999996</v>
      </c>
      <c r="N49">
        <f t="shared" si="31"/>
        <v>0.38999999999999996</v>
      </c>
      <c r="O49">
        <f t="shared" si="32"/>
        <v>8.4000000000000005E-2</v>
      </c>
      <c r="P49">
        <f t="shared" si="33"/>
        <v>7.7000000000000013E-2</v>
      </c>
      <c r="Q49">
        <f t="shared" si="34"/>
        <v>4.2000000000000003E-2</v>
      </c>
      <c r="R49">
        <f t="shared" si="35"/>
        <v>4.9000000000000002E-2</v>
      </c>
      <c r="S49">
        <v>1</v>
      </c>
      <c r="T49">
        <v>-1</v>
      </c>
      <c r="U49">
        <f t="shared" si="36"/>
        <v>1.01</v>
      </c>
      <c r="V49">
        <f t="shared" si="37"/>
        <v>0.126</v>
      </c>
      <c r="W49">
        <f t="shared" si="38"/>
        <v>0.70699999999999996</v>
      </c>
      <c r="X49">
        <f t="shared" si="39"/>
        <v>0.17304000000000003</v>
      </c>
      <c r="Y49">
        <f t="shared" si="40"/>
        <v>1.0584000000000001E-2</v>
      </c>
      <c r="Z49">
        <v>1.2</v>
      </c>
      <c r="AA49">
        <f t="shared" si="27"/>
        <v>0.92988895999999999</v>
      </c>
      <c r="AB49" t="s">
        <v>3</v>
      </c>
    </row>
    <row r="52" spans="1:28" x14ac:dyDescent="0.2">
      <c r="A52" t="s">
        <v>0</v>
      </c>
    </row>
    <row r="53" spans="1:28" x14ac:dyDescent="0.2">
      <c r="A53" t="s">
        <v>16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34</v>
      </c>
      <c r="L53" t="s">
        <v>35</v>
      </c>
      <c r="M53" t="s">
        <v>36</v>
      </c>
      <c r="N53" t="s">
        <v>37</v>
      </c>
      <c r="O53" t="s">
        <v>38</v>
      </c>
      <c r="P53" t="s">
        <v>39</v>
      </c>
      <c r="Q53" t="s">
        <v>40</v>
      </c>
      <c r="R53" t="s">
        <v>41</v>
      </c>
      <c r="S53" t="s">
        <v>63</v>
      </c>
      <c r="T53" t="s">
        <v>64</v>
      </c>
      <c r="U53" t="s">
        <v>65</v>
      </c>
      <c r="V53" t="s">
        <v>66</v>
      </c>
      <c r="W53" t="s">
        <v>60</v>
      </c>
      <c r="X53" t="s">
        <v>61</v>
      </c>
      <c r="Y53" t="s">
        <v>62</v>
      </c>
      <c r="Z53" t="s">
        <v>68</v>
      </c>
      <c r="AA53" t="s">
        <v>67</v>
      </c>
    </row>
    <row r="54" spans="1:28" x14ac:dyDescent="0.2">
      <c r="A54">
        <v>1.1000000000000001</v>
      </c>
      <c r="B54">
        <v>0.9</v>
      </c>
      <c r="C54">
        <v>0.46</v>
      </c>
      <c r="D54">
        <v>0.5</v>
      </c>
      <c r="E54">
        <v>-1.05</v>
      </c>
      <c r="F54">
        <v>-0.87</v>
      </c>
      <c r="G54">
        <v>-0.45</v>
      </c>
      <c r="H54">
        <v>-0.48</v>
      </c>
      <c r="I54">
        <v>0.5</v>
      </c>
      <c r="J54">
        <v>0.04</v>
      </c>
      <c r="K54">
        <f>A54+E54*I54</f>
        <v>0.57500000000000007</v>
      </c>
      <c r="L54">
        <f>B54+F54*I54</f>
        <v>0.46500000000000002</v>
      </c>
      <c r="M54">
        <f>C54+G54*I54</f>
        <v>0.23500000000000001</v>
      </c>
      <c r="N54">
        <f>D54+H54*I54</f>
        <v>0.26</v>
      </c>
      <c r="O54">
        <f>E54*J54</f>
        <v>-4.2000000000000003E-2</v>
      </c>
      <c r="P54">
        <f>F54*J54</f>
        <v>-3.4799999999999998E-2</v>
      </c>
      <c r="Q54">
        <f>G54*J54</f>
        <v>-1.8000000000000002E-2</v>
      </c>
      <c r="R54">
        <f>H54*J54</f>
        <v>-1.9199999999999998E-2</v>
      </c>
      <c r="S54">
        <v>1</v>
      </c>
      <c r="T54">
        <v>1</v>
      </c>
      <c r="U54">
        <f>IF(T54&gt;0, L54*S54+M54*ABS(T54),L54*S54+N54*ABS(T54))</f>
        <v>0.70000000000000007</v>
      </c>
      <c r="V54">
        <f>IF(T54&gt;0, P54*S54+Q54*ABS(T54),P54*S54+R54*ABS(T54))</f>
        <v>-5.28E-2</v>
      </c>
      <c r="W54">
        <f>K54*U54</f>
        <v>0.40250000000000008</v>
      </c>
      <c r="X54">
        <f>K54*V54+U54*O54</f>
        <v>-5.9760000000000008E-2</v>
      </c>
      <c r="Y54">
        <f>O54*V54</f>
        <v>2.2176000000000001E-3</v>
      </c>
      <c r="Z54">
        <v>-1</v>
      </c>
      <c r="AA54">
        <f>W54+X54*Z54+Y54*Z54^2</f>
        <v>0.4644776000000001</v>
      </c>
    </row>
    <row r="55" spans="1:28" x14ac:dyDescent="0.2">
      <c r="A55">
        <v>1.1000000000000001</v>
      </c>
      <c r="B55">
        <v>0.9</v>
      </c>
      <c r="C55">
        <v>0.46</v>
      </c>
      <c r="D55">
        <v>0.5</v>
      </c>
      <c r="E55">
        <v>-1.05</v>
      </c>
      <c r="F55">
        <v>-0.87</v>
      </c>
      <c r="G55">
        <v>-0.45</v>
      </c>
      <c r="H55">
        <v>-0.48</v>
      </c>
      <c r="I55">
        <v>0.5</v>
      </c>
      <c r="J55">
        <v>0.04</v>
      </c>
      <c r="K55">
        <f t="shared" ref="K55:K76" si="41">A55+E55*I55</f>
        <v>0.57500000000000007</v>
      </c>
      <c r="L55">
        <f t="shared" ref="L55:L76" si="42">B55+F55*I55</f>
        <v>0.46500000000000002</v>
      </c>
      <c r="M55">
        <f t="shared" ref="M55:M76" si="43">C55+G55*I55</f>
        <v>0.23500000000000001</v>
      </c>
      <c r="N55">
        <f t="shared" ref="N55:N76" si="44">D55+H55*I55</f>
        <v>0.26</v>
      </c>
      <c r="O55">
        <f t="shared" ref="O55:O76" si="45">E55*J55</f>
        <v>-4.2000000000000003E-2</v>
      </c>
      <c r="P55">
        <f t="shared" ref="P55:P76" si="46">F55*J55</f>
        <v>-3.4799999999999998E-2</v>
      </c>
      <c r="Q55">
        <f t="shared" ref="Q55:Q76" si="47">G55*J55</f>
        <v>-1.8000000000000002E-2</v>
      </c>
      <c r="R55">
        <f t="shared" ref="R55:R76" si="48">H55*J55</f>
        <v>-1.9199999999999998E-2</v>
      </c>
      <c r="S55">
        <v>1</v>
      </c>
      <c r="T55">
        <v>1</v>
      </c>
      <c r="U55">
        <f t="shared" ref="U55:U76" si="49">IF(T55&gt;0, L55*S55+M55*ABS(T55),L55*S55+N55*ABS(T55))</f>
        <v>0.70000000000000007</v>
      </c>
      <c r="V55">
        <f t="shared" ref="V55:V76" si="50">IF(T55&gt;0, P55*S55+Q55*ABS(T55),P55*S55+R55*ABS(T55))</f>
        <v>-5.28E-2</v>
      </c>
      <c r="W55">
        <f t="shared" ref="W55:W76" si="51">K55*U55</f>
        <v>0.40250000000000008</v>
      </c>
      <c r="X55">
        <f t="shared" ref="X55:X76" si="52">K55*V55+U55*O55</f>
        <v>-5.9760000000000008E-2</v>
      </c>
      <c r="Y55">
        <f t="shared" ref="Y55:Y76" si="53">O55*V55</f>
        <v>2.2176000000000001E-3</v>
      </c>
      <c r="Z55">
        <v>-0.9</v>
      </c>
      <c r="AA55">
        <f t="shared" ref="AA55:AA100" si="54">W55+X55*Z55+Y55*Z55^2</f>
        <v>0.45808025600000007</v>
      </c>
    </row>
    <row r="56" spans="1:28" x14ac:dyDescent="0.2">
      <c r="A56">
        <v>1.1000000000000001</v>
      </c>
      <c r="B56">
        <v>0.9</v>
      </c>
      <c r="C56">
        <v>0.46</v>
      </c>
      <c r="D56">
        <v>0.5</v>
      </c>
      <c r="E56">
        <v>-1.05</v>
      </c>
      <c r="F56">
        <v>-0.87</v>
      </c>
      <c r="G56">
        <v>-0.45</v>
      </c>
      <c r="H56">
        <v>-0.48</v>
      </c>
      <c r="I56">
        <v>0.5</v>
      </c>
      <c r="J56">
        <v>0.04</v>
      </c>
      <c r="K56">
        <f t="shared" si="41"/>
        <v>0.57500000000000007</v>
      </c>
      <c r="L56">
        <f t="shared" si="42"/>
        <v>0.46500000000000002</v>
      </c>
      <c r="M56">
        <f t="shared" si="43"/>
        <v>0.23500000000000001</v>
      </c>
      <c r="N56">
        <f t="shared" si="44"/>
        <v>0.26</v>
      </c>
      <c r="O56">
        <f t="shared" si="45"/>
        <v>-4.2000000000000003E-2</v>
      </c>
      <c r="P56">
        <f t="shared" si="46"/>
        <v>-3.4799999999999998E-2</v>
      </c>
      <c r="Q56">
        <f t="shared" si="47"/>
        <v>-1.8000000000000002E-2</v>
      </c>
      <c r="R56">
        <f t="shared" si="48"/>
        <v>-1.9199999999999998E-2</v>
      </c>
      <c r="S56">
        <v>1</v>
      </c>
      <c r="T56">
        <v>1</v>
      </c>
      <c r="U56">
        <f t="shared" si="49"/>
        <v>0.70000000000000007</v>
      </c>
      <c r="V56">
        <f t="shared" si="50"/>
        <v>-5.28E-2</v>
      </c>
      <c r="W56">
        <f t="shared" si="51"/>
        <v>0.40250000000000008</v>
      </c>
      <c r="X56">
        <f t="shared" si="52"/>
        <v>-5.9760000000000008E-2</v>
      </c>
      <c r="Y56">
        <f t="shared" si="53"/>
        <v>2.2176000000000001E-3</v>
      </c>
      <c r="Z56">
        <v>-0.8</v>
      </c>
      <c r="AA56">
        <f t="shared" si="54"/>
        <v>0.45172726400000007</v>
      </c>
    </row>
    <row r="57" spans="1:28" x14ac:dyDescent="0.2">
      <c r="A57">
        <v>1.1000000000000001</v>
      </c>
      <c r="B57">
        <v>0.9</v>
      </c>
      <c r="C57">
        <v>0.46</v>
      </c>
      <c r="D57">
        <v>0.5</v>
      </c>
      <c r="E57">
        <v>-1.05</v>
      </c>
      <c r="F57">
        <v>-0.87</v>
      </c>
      <c r="G57">
        <v>-0.45</v>
      </c>
      <c r="H57">
        <v>-0.48</v>
      </c>
      <c r="I57">
        <v>0.5</v>
      </c>
      <c r="J57">
        <v>0.04</v>
      </c>
      <c r="K57">
        <f t="shared" si="41"/>
        <v>0.57500000000000007</v>
      </c>
      <c r="L57">
        <f t="shared" si="42"/>
        <v>0.46500000000000002</v>
      </c>
      <c r="M57">
        <f t="shared" si="43"/>
        <v>0.23500000000000001</v>
      </c>
      <c r="N57">
        <f t="shared" si="44"/>
        <v>0.26</v>
      </c>
      <c r="O57">
        <f t="shared" si="45"/>
        <v>-4.2000000000000003E-2</v>
      </c>
      <c r="P57">
        <f t="shared" si="46"/>
        <v>-3.4799999999999998E-2</v>
      </c>
      <c r="Q57">
        <f t="shared" si="47"/>
        <v>-1.8000000000000002E-2</v>
      </c>
      <c r="R57">
        <f t="shared" si="48"/>
        <v>-1.9199999999999998E-2</v>
      </c>
      <c r="S57">
        <v>1</v>
      </c>
      <c r="T57">
        <v>1</v>
      </c>
      <c r="U57">
        <f t="shared" si="49"/>
        <v>0.70000000000000007</v>
      </c>
      <c r="V57">
        <f t="shared" si="50"/>
        <v>-5.28E-2</v>
      </c>
      <c r="W57">
        <f t="shared" si="51"/>
        <v>0.40250000000000008</v>
      </c>
      <c r="X57">
        <f t="shared" si="52"/>
        <v>-5.9760000000000008E-2</v>
      </c>
      <c r="Y57">
        <f t="shared" si="53"/>
        <v>2.2176000000000001E-3</v>
      </c>
      <c r="Z57">
        <v>-0.7</v>
      </c>
      <c r="AA57">
        <f t="shared" si="54"/>
        <v>0.44541862400000004</v>
      </c>
    </row>
    <row r="58" spans="1:28" x14ac:dyDescent="0.2">
      <c r="A58">
        <v>1.1000000000000001</v>
      </c>
      <c r="B58">
        <v>0.9</v>
      </c>
      <c r="C58">
        <v>0.46</v>
      </c>
      <c r="D58">
        <v>0.5</v>
      </c>
      <c r="E58">
        <v>-1.05</v>
      </c>
      <c r="F58">
        <v>-0.87</v>
      </c>
      <c r="G58">
        <v>-0.45</v>
      </c>
      <c r="H58">
        <v>-0.48</v>
      </c>
      <c r="I58">
        <v>0.5</v>
      </c>
      <c r="J58">
        <v>0.04</v>
      </c>
      <c r="K58">
        <f t="shared" si="41"/>
        <v>0.57500000000000007</v>
      </c>
      <c r="L58">
        <f t="shared" si="42"/>
        <v>0.46500000000000002</v>
      </c>
      <c r="M58">
        <f t="shared" si="43"/>
        <v>0.23500000000000001</v>
      </c>
      <c r="N58">
        <f t="shared" si="44"/>
        <v>0.26</v>
      </c>
      <c r="O58">
        <f t="shared" si="45"/>
        <v>-4.2000000000000003E-2</v>
      </c>
      <c r="P58">
        <f t="shared" si="46"/>
        <v>-3.4799999999999998E-2</v>
      </c>
      <c r="Q58">
        <f t="shared" si="47"/>
        <v>-1.8000000000000002E-2</v>
      </c>
      <c r="R58">
        <f t="shared" si="48"/>
        <v>-1.9199999999999998E-2</v>
      </c>
      <c r="S58">
        <v>1</v>
      </c>
      <c r="T58">
        <v>1</v>
      </c>
      <c r="U58">
        <f t="shared" si="49"/>
        <v>0.70000000000000007</v>
      </c>
      <c r="V58">
        <f t="shared" si="50"/>
        <v>-5.28E-2</v>
      </c>
      <c r="W58">
        <f t="shared" si="51"/>
        <v>0.40250000000000008</v>
      </c>
      <c r="X58">
        <f t="shared" si="52"/>
        <v>-5.9760000000000008E-2</v>
      </c>
      <c r="Y58">
        <f t="shared" si="53"/>
        <v>2.2176000000000001E-3</v>
      </c>
      <c r="Z58">
        <v>-0.6</v>
      </c>
      <c r="AA58">
        <f t="shared" si="54"/>
        <v>0.43915433600000009</v>
      </c>
    </row>
    <row r="59" spans="1:28" x14ac:dyDescent="0.2">
      <c r="A59">
        <v>1.1000000000000001</v>
      </c>
      <c r="B59">
        <v>0.9</v>
      </c>
      <c r="C59">
        <v>0.46</v>
      </c>
      <c r="D59">
        <v>0.5</v>
      </c>
      <c r="E59">
        <v>-1.05</v>
      </c>
      <c r="F59">
        <v>-0.87</v>
      </c>
      <c r="G59">
        <v>-0.45</v>
      </c>
      <c r="H59">
        <v>-0.48</v>
      </c>
      <c r="I59">
        <v>0.5</v>
      </c>
      <c r="J59">
        <v>0.04</v>
      </c>
      <c r="K59">
        <f t="shared" si="41"/>
        <v>0.57500000000000007</v>
      </c>
      <c r="L59">
        <f t="shared" si="42"/>
        <v>0.46500000000000002</v>
      </c>
      <c r="M59">
        <f t="shared" si="43"/>
        <v>0.23500000000000001</v>
      </c>
      <c r="N59">
        <f t="shared" si="44"/>
        <v>0.26</v>
      </c>
      <c r="O59">
        <f t="shared" si="45"/>
        <v>-4.2000000000000003E-2</v>
      </c>
      <c r="P59">
        <f t="shared" si="46"/>
        <v>-3.4799999999999998E-2</v>
      </c>
      <c r="Q59">
        <f t="shared" si="47"/>
        <v>-1.8000000000000002E-2</v>
      </c>
      <c r="R59">
        <f t="shared" si="48"/>
        <v>-1.9199999999999998E-2</v>
      </c>
      <c r="S59">
        <v>1</v>
      </c>
      <c r="T59">
        <v>1</v>
      </c>
      <c r="U59">
        <f t="shared" si="49"/>
        <v>0.70000000000000007</v>
      </c>
      <c r="V59">
        <f t="shared" si="50"/>
        <v>-5.28E-2</v>
      </c>
      <c r="W59">
        <f t="shared" si="51"/>
        <v>0.40250000000000008</v>
      </c>
      <c r="X59">
        <f t="shared" si="52"/>
        <v>-5.9760000000000008E-2</v>
      </c>
      <c r="Y59">
        <f t="shared" si="53"/>
        <v>2.2176000000000001E-3</v>
      </c>
      <c r="Z59">
        <v>-0.5</v>
      </c>
      <c r="AA59">
        <f t="shared" si="54"/>
        <v>0.43293440000000011</v>
      </c>
    </row>
    <row r="60" spans="1:28" x14ac:dyDescent="0.2">
      <c r="A60">
        <v>1.1000000000000001</v>
      </c>
      <c r="B60">
        <v>0.9</v>
      </c>
      <c r="C60">
        <v>0.46</v>
      </c>
      <c r="D60">
        <v>0.5</v>
      </c>
      <c r="E60">
        <v>-1.05</v>
      </c>
      <c r="F60">
        <v>-0.87</v>
      </c>
      <c r="G60">
        <v>-0.45</v>
      </c>
      <c r="H60">
        <v>-0.48</v>
      </c>
      <c r="I60">
        <v>0.5</v>
      </c>
      <c r="J60">
        <v>0.04</v>
      </c>
      <c r="K60">
        <f t="shared" si="41"/>
        <v>0.57500000000000007</v>
      </c>
      <c r="L60">
        <f t="shared" si="42"/>
        <v>0.46500000000000002</v>
      </c>
      <c r="M60">
        <f t="shared" si="43"/>
        <v>0.23500000000000001</v>
      </c>
      <c r="N60">
        <f t="shared" si="44"/>
        <v>0.26</v>
      </c>
      <c r="O60">
        <f t="shared" si="45"/>
        <v>-4.2000000000000003E-2</v>
      </c>
      <c r="P60">
        <f t="shared" si="46"/>
        <v>-3.4799999999999998E-2</v>
      </c>
      <c r="Q60">
        <f t="shared" si="47"/>
        <v>-1.8000000000000002E-2</v>
      </c>
      <c r="R60">
        <f t="shared" si="48"/>
        <v>-1.9199999999999998E-2</v>
      </c>
      <c r="S60">
        <v>1</v>
      </c>
      <c r="T60">
        <v>1</v>
      </c>
      <c r="U60">
        <f t="shared" si="49"/>
        <v>0.70000000000000007</v>
      </c>
      <c r="V60">
        <f t="shared" si="50"/>
        <v>-5.28E-2</v>
      </c>
      <c r="W60">
        <f t="shared" si="51"/>
        <v>0.40250000000000008</v>
      </c>
      <c r="X60">
        <f t="shared" si="52"/>
        <v>-5.9760000000000008E-2</v>
      </c>
      <c r="Y60">
        <f t="shared" si="53"/>
        <v>2.2176000000000001E-3</v>
      </c>
      <c r="Z60">
        <v>-0.4</v>
      </c>
      <c r="AA60">
        <f t="shared" si="54"/>
        <v>0.42675881600000004</v>
      </c>
    </row>
    <row r="61" spans="1:28" x14ac:dyDescent="0.2">
      <c r="A61">
        <v>1.1000000000000001</v>
      </c>
      <c r="B61">
        <v>0.9</v>
      </c>
      <c r="C61">
        <v>0.46</v>
      </c>
      <c r="D61">
        <v>0.5</v>
      </c>
      <c r="E61">
        <v>-1.05</v>
      </c>
      <c r="F61">
        <v>-0.87</v>
      </c>
      <c r="G61">
        <v>-0.45</v>
      </c>
      <c r="H61">
        <v>-0.48</v>
      </c>
      <c r="I61">
        <v>0.5</v>
      </c>
      <c r="J61">
        <v>0.04</v>
      </c>
      <c r="K61">
        <f t="shared" si="41"/>
        <v>0.57500000000000007</v>
      </c>
      <c r="L61">
        <f t="shared" si="42"/>
        <v>0.46500000000000002</v>
      </c>
      <c r="M61">
        <f t="shared" si="43"/>
        <v>0.23500000000000001</v>
      </c>
      <c r="N61">
        <f t="shared" si="44"/>
        <v>0.26</v>
      </c>
      <c r="O61">
        <f t="shared" si="45"/>
        <v>-4.2000000000000003E-2</v>
      </c>
      <c r="P61">
        <f t="shared" si="46"/>
        <v>-3.4799999999999998E-2</v>
      </c>
      <c r="Q61">
        <f t="shared" si="47"/>
        <v>-1.8000000000000002E-2</v>
      </c>
      <c r="R61">
        <f t="shared" si="48"/>
        <v>-1.9199999999999998E-2</v>
      </c>
      <c r="S61">
        <v>1</v>
      </c>
      <c r="T61">
        <v>1</v>
      </c>
      <c r="U61">
        <f t="shared" si="49"/>
        <v>0.70000000000000007</v>
      </c>
      <c r="V61">
        <f t="shared" si="50"/>
        <v>-5.28E-2</v>
      </c>
      <c r="W61">
        <f t="shared" si="51"/>
        <v>0.40250000000000008</v>
      </c>
      <c r="X61">
        <f t="shared" si="52"/>
        <v>-5.9760000000000008E-2</v>
      </c>
      <c r="Y61">
        <f t="shared" si="53"/>
        <v>2.2176000000000001E-3</v>
      </c>
      <c r="Z61">
        <v>-0.3</v>
      </c>
      <c r="AA61">
        <f t="shared" si="54"/>
        <v>0.42062758400000005</v>
      </c>
    </row>
    <row r="62" spans="1:28" x14ac:dyDescent="0.2">
      <c r="A62">
        <v>1.1000000000000001</v>
      </c>
      <c r="B62">
        <v>0.9</v>
      </c>
      <c r="C62">
        <v>0.46</v>
      </c>
      <c r="D62">
        <v>0.5</v>
      </c>
      <c r="E62">
        <v>-1.05</v>
      </c>
      <c r="F62">
        <v>-0.87</v>
      </c>
      <c r="G62">
        <v>-0.45</v>
      </c>
      <c r="H62">
        <v>-0.48</v>
      </c>
      <c r="I62">
        <v>0.5</v>
      </c>
      <c r="J62">
        <v>0.04</v>
      </c>
      <c r="K62">
        <f t="shared" si="41"/>
        <v>0.57500000000000007</v>
      </c>
      <c r="L62">
        <f t="shared" si="42"/>
        <v>0.46500000000000002</v>
      </c>
      <c r="M62">
        <f t="shared" si="43"/>
        <v>0.23500000000000001</v>
      </c>
      <c r="N62">
        <f t="shared" si="44"/>
        <v>0.26</v>
      </c>
      <c r="O62">
        <f t="shared" si="45"/>
        <v>-4.2000000000000003E-2</v>
      </c>
      <c r="P62">
        <f t="shared" si="46"/>
        <v>-3.4799999999999998E-2</v>
      </c>
      <c r="Q62">
        <f t="shared" si="47"/>
        <v>-1.8000000000000002E-2</v>
      </c>
      <c r="R62">
        <f t="shared" si="48"/>
        <v>-1.9199999999999998E-2</v>
      </c>
      <c r="S62">
        <v>1</v>
      </c>
      <c r="T62">
        <v>1</v>
      </c>
      <c r="U62">
        <f t="shared" si="49"/>
        <v>0.70000000000000007</v>
      </c>
      <c r="V62">
        <f t="shared" si="50"/>
        <v>-5.28E-2</v>
      </c>
      <c r="W62">
        <f t="shared" si="51"/>
        <v>0.40250000000000008</v>
      </c>
      <c r="X62">
        <f t="shared" si="52"/>
        <v>-5.9760000000000008E-2</v>
      </c>
      <c r="Y62">
        <f t="shared" si="53"/>
        <v>2.2176000000000001E-3</v>
      </c>
      <c r="Z62">
        <v>-0.2</v>
      </c>
      <c r="AA62">
        <f t="shared" si="54"/>
        <v>0.41454070400000009</v>
      </c>
    </row>
    <row r="63" spans="1:28" x14ac:dyDescent="0.2">
      <c r="A63">
        <v>1.1000000000000001</v>
      </c>
      <c r="B63">
        <v>0.9</v>
      </c>
      <c r="C63">
        <v>0.46</v>
      </c>
      <c r="D63">
        <v>0.5</v>
      </c>
      <c r="E63">
        <v>-1.05</v>
      </c>
      <c r="F63">
        <v>-0.87</v>
      </c>
      <c r="G63">
        <v>-0.45</v>
      </c>
      <c r="H63">
        <v>-0.48</v>
      </c>
      <c r="I63">
        <v>0.5</v>
      </c>
      <c r="J63">
        <v>0.04</v>
      </c>
      <c r="K63">
        <f t="shared" si="41"/>
        <v>0.57500000000000007</v>
      </c>
      <c r="L63">
        <f t="shared" si="42"/>
        <v>0.46500000000000002</v>
      </c>
      <c r="M63">
        <f t="shared" si="43"/>
        <v>0.23500000000000001</v>
      </c>
      <c r="N63">
        <f t="shared" si="44"/>
        <v>0.26</v>
      </c>
      <c r="O63">
        <f t="shared" si="45"/>
        <v>-4.2000000000000003E-2</v>
      </c>
      <c r="P63">
        <f t="shared" si="46"/>
        <v>-3.4799999999999998E-2</v>
      </c>
      <c r="Q63">
        <f t="shared" si="47"/>
        <v>-1.8000000000000002E-2</v>
      </c>
      <c r="R63">
        <f t="shared" si="48"/>
        <v>-1.9199999999999998E-2</v>
      </c>
      <c r="S63">
        <v>1</v>
      </c>
      <c r="T63">
        <v>1</v>
      </c>
      <c r="U63">
        <f t="shared" si="49"/>
        <v>0.70000000000000007</v>
      </c>
      <c r="V63">
        <f t="shared" si="50"/>
        <v>-5.28E-2</v>
      </c>
      <c r="W63">
        <f t="shared" si="51"/>
        <v>0.40250000000000008</v>
      </c>
      <c r="X63">
        <f t="shared" si="52"/>
        <v>-5.9760000000000008E-2</v>
      </c>
      <c r="Y63">
        <f t="shared" si="53"/>
        <v>2.2176000000000001E-3</v>
      </c>
      <c r="Z63">
        <v>-0.1</v>
      </c>
      <c r="AA63">
        <f t="shared" si="54"/>
        <v>0.40849817600000005</v>
      </c>
    </row>
    <row r="64" spans="1:28" x14ac:dyDescent="0.2">
      <c r="A64">
        <v>1.1000000000000001</v>
      </c>
      <c r="B64">
        <v>0.9</v>
      </c>
      <c r="C64">
        <v>0.46</v>
      </c>
      <c r="D64">
        <v>0.5</v>
      </c>
      <c r="E64">
        <v>-1.05</v>
      </c>
      <c r="F64">
        <v>-0.87</v>
      </c>
      <c r="G64">
        <v>-0.45</v>
      </c>
      <c r="H64">
        <v>-0.48</v>
      </c>
      <c r="I64">
        <v>0.5</v>
      </c>
      <c r="J64">
        <v>0.04</v>
      </c>
      <c r="K64">
        <f t="shared" si="41"/>
        <v>0.57500000000000007</v>
      </c>
      <c r="L64">
        <f t="shared" si="42"/>
        <v>0.46500000000000002</v>
      </c>
      <c r="M64">
        <f t="shared" si="43"/>
        <v>0.23500000000000001</v>
      </c>
      <c r="N64">
        <f t="shared" si="44"/>
        <v>0.26</v>
      </c>
      <c r="O64">
        <f t="shared" si="45"/>
        <v>-4.2000000000000003E-2</v>
      </c>
      <c r="P64">
        <f t="shared" si="46"/>
        <v>-3.4799999999999998E-2</v>
      </c>
      <c r="Q64">
        <f t="shared" si="47"/>
        <v>-1.8000000000000002E-2</v>
      </c>
      <c r="R64">
        <f t="shared" si="48"/>
        <v>-1.9199999999999998E-2</v>
      </c>
      <c r="S64">
        <v>1</v>
      </c>
      <c r="T64">
        <v>1</v>
      </c>
      <c r="U64">
        <f t="shared" si="49"/>
        <v>0.70000000000000007</v>
      </c>
      <c r="V64">
        <f t="shared" si="50"/>
        <v>-5.28E-2</v>
      </c>
      <c r="W64">
        <f t="shared" si="51"/>
        <v>0.40250000000000008</v>
      </c>
      <c r="X64">
        <f t="shared" si="52"/>
        <v>-5.9760000000000008E-2</v>
      </c>
      <c r="Y64">
        <f t="shared" si="53"/>
        <v>2.2176000000000001E-3</v>
      </c>
      <c r="Z64">
        <v>0</v>
      </c>
      <c r="AA64">
        <f t="shared" si="54"/>
        <v>0.40250000000000008</v>
      </c>
    </row>
    <row r="65" spans="1:28" x14ac:dyDescent="0.2">
      <c r="A65">
        <v>1.1000000000000001</v>
      </c>
      <c r="B65">
        <v>0.9</v>
      </c>
      <c r="C65">
        <v>0.46</v>
      </c>
      <c r="D65">
        <v>0.5</v>
      </c>
      <c r="E65">
        <v>-1.05</v>
      </c>
      <c r="F65">
        <v>-0.87</v>
      </c>
      <c r="G65">
        <v>-0.45</v>
      </c>
      <c r="H65">
        <v>-0.48</v>
      </c>
      <c r="I65">
        <v>0.5</v>
      </c>
      <c r="J65">
        <v>0.04</v>
      </c>
      <c r="K65">
        <f t="shared" si="41"/>
        <v>0.57500000000000007</v>
      </c>
      <c r="L65">
        <f t="shared" si="42"/>
        <v>0.46500000000000002</v>
      </c>
      <c r="M65">
        <f t="shared" si="43"/>
        <v>0.23500000000000001</v>
      </c>
      <c r="N65">
        <f t="shared" si="44"/>
        <v>0.26</v>
      </c>
      <c r="O65">
        <f t="shared" si="45"/>
        <v>-4.2000000000000003E-2</v>
      </c>
      <c r="P65">
        <f t="shared" si="46"/>
        <v>-3.4799999999999998E-2</v>
      </c>
      <c r="Q65">
        <f t="shared" si="47"/>
        <v>-1.8000000000000002E-2</v>
      </c>
      <c r="R65">
        <f t="shared" si="48"/>
        <v>-1.9199999999999998E-2</v>
      </c>
      <c r="S65">
        <v>1</v>
      </c>
      <c r="T65">
        <v>1</v>
      </c>
      <c r="U65">
        <f t="shared" si="49"/>
        <v>0.70000000000000007</v>
      </c>
      <c r="V65">
        <f t="shared" si="50"/>
        <v>-5.28E-2</v>
      </c>
      <c r="W65">
        <f t="shared" si="51"/>
        <v>0.40250000000000008</v>
      </c>
      <c r="X65">
        <f t="shared" si="52"/>
        <v>-5.9760000000000008E-2</v>
      </c>
      <c r="Y65">
        <f t="shared" si="53"/>
        <v>2.2176000000000001E-3</v>
      </c>
      <c r="Z65">
        <v>0.1</v>
      </c>
      <c r="AA65">
        <f t="shared" si="54"/>
        <v>0.39654617600000008</v>
      </c>
    </row>
    <row r="66" spans="1:28" x14ac:dyDescent="0.2">
      <c r="A66">
        <v>1.1000000000000001</v>
      </c>
      <c r="B66">
        <v>0.9</v>
      </c>
      <c r="C66">
        <v>0.46</v>
      </c>
      <c r="D66">
        <v>0.5</v>
      </c>
      <c r="E66">
        <v>-1.05</v>
      </c>
      <c r="F66">
        <v>-0.87</v>
      </c>
      <c r="G66">
        <v>-0.45</v>
      </c>
      <c r="H66">
        <v>-0.48</v>
      </c>
      <c r="I66">
        <v>0.5</v>
      </c>
      <c r="J66">
        <v>0.04</v>
      </c>
      <c r="K66">
        <f t="shared" si="41"/>
        <v>0.57500000000000007</v>
      </c>
      <c r="L66">
        <f t="shared" si="42"/>
        <v>0.46500000000000002</v>
      </c>
      <c r="M66">
        <f t="shared" si="43"/>
        <v>0.23500000000000001</v>
      </c>
      <c r="N66">
        <f t="shared" si="44"/>
        <v>0.26</v>
      </c>
      <c r="O66">
        <f t="shared" si="45"/>
        <v>-4.2000000000000003E-2</v>
      </c>
      <c r="P66">
        <f t="shared" si="46"/>
        <v>-3.4799999999999998E-2</v>
      </c>
      <c r="Q66">
        <f t="shared" si="47"/>
        <v>-1.8000000000000002E-2</v>
      </c>
      <c r="R66">
        <f t="shared" si="48"/>
        <v>-1.9199999999999998E-2</v>
      </c>
      <c r="S66">
        <v>1</v>
      </c>
      <c r="T66">
        <v>1</v>
      </c>
      <c r="U66">
        <f t="shared" si="49"/>
        <v>0.70000000000000007</v>
      </c>
      <c r="V66">
        <f t="shared" si="50"/>
        <v>-5.28E-2</v>
      </c>
      <c r="W66">
        <f t="shared" si="51"/>
        <v>0.40250000000000008</v>
      </c>
      <c r="X66">
        <f t="shared" si="52"/>
        <v>-5.9760000000000008E-2</v>
      </c>
      <c r="Y66">
        <f t="shared" si="53"/>
        <v>2.2176000000000001E-3</v>
      </c>
      <c r="Z66">
        <v>0.2</v>
      </c>
      <c r="AA66">
        <f t="shared" si="54"/>
        <v>0.39063670400000006</v>
      </c>
    </row>
    <row r="67" spans="1:28" x14ac:dyDescent="0.2">
      <c r="A67">
        <v>1.1000000000000001</v>
      </c>
      <c r="B67">
        <v>0.9</v>
      </c>
      <c r="C67">
        <v>0.46</v>
      </c>
      <c r="D67">
        <v>0.5</v>
      </c>
      <c r="E67">
        <v>-1.05</v>
      </c>
      <c r="F67">
        <v>-0.87</v>
      </c>
      <c r="G67">
        <v>-0.45</v>
      </c>
      <c r="H67">
        <v>-0.48</v>
      </c>
      <c r="I67">
        <v>0.5</v>
      </c>
      <c r="J67">
        <v>0.04</v>
      </c>
      <c r="K67">
        <f t="shared" si="41"/>
        <v>0.57500000000000007</v>
      </c>
      <c r="L67">
        <f t="shared" si="42"/>
        <v>0.46500000000000002</v>
      </c>
      <c r="M67">
        <f t="shared" si="43"/>
        <v>0.23500000000000001</v>
      </c>
      <c r="N67">
        <f t="shared" si="44"/>
        <v>0.26</v>
      </c>
      <c r="O67">
        <f t="shared" si="45"/>
        <v>-4.2000000000000003E-2</v>
      </c>
      <c r="P67">
        <f t="shared" si="46"/>
        <v>-3.4799999999999998E-2</v>
      </c>
      <c r="Q67">
        <f t="shared" si="47"/>
        <v>-1.8000000000000002E-2</v>
      </c>
      <c r="R67">
        <f t="shared" si="48"/>
        <v>-1.9199999999999998E-2</v>
      </c>
      <c r="S67">
        <v>1</v>
      </c>
      <c r="T67">
        <v>1</v>
      </c>
      <c r="U67">
        <f t="shared" si="49"/>
        <v>0.70000000000000007</v>
      </c>
      <c r="V67">
        <f t="shared" si="50"/>
        <v>-5.28E-2</v>
      </c>
      <c r="W67">
        <f t="shared" si="51"/>
        <v>0.40250000000000008</v>
      </c>
      <c r="X67">
        <f t="shared" si="52"/>
        <v>-5.9760000000000008E-2</v>
      </c>
      <c r="Y67">
        <f t="shared" si="53"/>
        <v>2.2176000000000001E-3</v>
      </c>
      <c r="Z67">
        <v>0.3</v>
      </c>
      <c r="AA67">
        <f t="shared" si="54"/>
        <v>0.38477158400000006</v>
      </c>
    </row>
    <row r="68" spans="1:28" x14ac:dyDescent="0.2">
      <c r="A68">
        <v>1.1000000000000001</v>
      </c>
      <c r="B68">
        <v>0.9</v>
      </c>
      <c r="C68">
        <v>0.46</v>
      </c>
      <c r="D68">
        <v>0.5</v>
      </c>
      <c r="E68">
        <v>-1.05</v>
      </c>
      <c r="F68">
        <v>-0.87</v>
      </c>
      <c r="G68">
        <v>-0.45</v>
      </c>
      <c r="H68">
        <v>-0.48</v>
      </c>
      <c r="I68">
        <v>0.5</v>
      </c>
      <c r="J68">
        <v>0.04</v>
      </c>
      <c r="K68">
        <f t="shared" si="41"/>
        <v>0.57500000000000007</v>
      </c>
      <c r="L68">
        <f t="shared" si="42"/>
        <v>0.46500000000000002</v>
      </c>
      <c r="M68">
        <f t="shared" si="43"/>
        <v>0.23500000000000001</v>
      </c>
      <c r="N68">
        <f t="shared" si="44"/>
        <v>0.26</v>
      </c>
      <c r="O68">
        <f t="shared" si="45"/>
        <v>-4.2000000000000003E-2</v>
      </c>
      <c r="P68">
        <f t="shared" si="46"/>
        <v>-3.4799999999999998E-2</v>
      </c>
      <c r="Q68">
        <f t="shared" si="47"/>
        <v>-1.8000000000000002E-2</v>
      </c>
      <c r="R68">
        <f t="shared" si="48"/>
        <v>-1.9199999999999998E-2</v>
      </c>
      <c r="S68">
        <v>1</v>
      </c>
      <c r="T68">
        <v>1</v>
      </c>
      <c r="U68">
        <f t="shared" si="49"/>
        <v>0.70000000000000007</v>
      </c>
      <c r="V68">
        <f t="shared" si="50"/>
        <v>-5.28E-2</v>
      </c>
      <c r="W68">
        <f t="shared" si="51"/>
        <v>0.40250000000000008</v>
      </c>
      <c r="X68">
        <f t="shared" si="52"/>
        <v>-5.9760000000000008E-2</v>
      </c>
      <c r="Y68">
        <f t="shared" si="53"/>
        <v>2.2176000000000001E-3</v>
      </c>
      <c r="Z68">
        <v>0.4</v>
      </c>
      <c r="AA68">
        <f t="shared" si="54"/>
        <v>0.37895081600000008</v>
      </c>
    </row>
    <row r="69" spans="1:28" x14ac:dyDescent="0.2">
      <c r="A69">
        <v>1.1000000000000001</v>
      </c>
      <c r="B69">
        <v>0.9</v>
      </c>
      <c r="C69">
        <v>0.46</v>
      </c>
      <c r="D69">
        <v>0.5</v>
      </c>
      <c r="E69">
        <v>-1.05</v>
      </c>
      <c r="F69">
        <v>-0.87</v>
      </c>
      <c r="G69">
        <v>-0.45</v>
      </c>
      <c r="H69">
        <v>-0.48</v>
      </c>
      <c r="I69">
        <v>0.5</v>
      </c>
      <c r="J69">
        <v>0.04</v>
      </c>
      <c r="K69">
        <f t="shared" si="41"/>
        <v>0.57500000000000007</v>
      </c>
      <c r="L69">
        <f t="shared" si="42"/>
        <v>0.46500000000000002</v>
      </c>
      <c r="M69">
        <f t="shared" si="43"/>
        <v>0.23500000000000001</v>
      </c>
      <c r="N69">
        <f t="shared" si="44"/>
        <v>0.26</v>
      </c>
      <c r="O69">
        <f t="shared" si="45"/>
        <v>-4.2000000000000003E-2</v>
      </c>
      <c r="P69">
        <f t="shared" si="46"/>
        <v>-3.4799999999999998E-2</v>
      </c>
      <c r="Q69">
        <f t="shared" si="47"/>
        <v>-1.8000000000000002E-2</v>
      </c>
      <c r="R69">
        <f t="shared" si="48"/>
        <v>-1.9199999999999998E-2</v>
      </c>
      <c r="S69">
        <v>1</v>
      </c>
      <c r="T69">
        <v>1</v>
      </c>
      <c r="U69">
        <f t="shared" si="49"/>
        <v>0.70000000000000007</v>
      </c>
      <c r="V69">
        <f t="shared" si="50"/>
        <v>-5.28E-2</v>
      </c>
      <c r="W69">
        <f t="shared" si="51"/>
        <v>0.40250000000000008</v>
      </c>
      <c r="X69">
        <f t="shared" si="52"/>
        <v>-5.9760000000000008E-2</v>
      </c>
      <c r="Y69">
        <f t="shared" si="53"/>
        <v>2.2176000000000001E-3</v>
      </c>
      <c r="Z69">
        <v>0.5</v>
      </c>
      <c r="AA69">
        <f t="shared" si="54"/>
        <v>0.37317440000000007</v>
      </c>
    </row>
    <row r="70" spans="1:28" x14ac:dyDescent="0.2">
      <c r="A70">
        <v>1.1000000000000001</v>
      </c>
      <c r="B70">
        <v>0.9</v>
      </c>
      <c r="C70">
        <v>0.46</v>
      </c>
      <c r="D70">
        <v>0.5</v>
      </c>
      <c r="E70">
        <v>-1.05</v>
      </c>
      <c r="F70">
        <v>-0.87</v>
      </c>
      <c r="G70">
        <v>-0.45</v>
      </c>
      <c r="H70">
        <v>-0.48</v>
      </c>
      <c r="I70">
        <v>0.5</v>
      </c>
      <c r="J70">
        <v>0.04</v>
      </c>
      <c r="K70">
        <f t="shared" si="41"/>
        <v>0.57500000000000007</v>
      </c>
      <c r="L70">
        <f t="shared" si="42"/>
        <v>0.46500000000000002</v>
      </c>
      <c r="M70">
        <f t="shared" si="43"/>
        <v>0.23500000000000001</v>
      </c>
      <c r="N70">
        <f t="shared" si="44"/>
        <v>0.26</v>
      </c>
      <c r="O70">
        <f t="shared" si="45"/>
        <v>-4.2000000000000003E-2</v>
      </c>
      <c r="P70">
        <f t="shared" si="46"/>
        <v>-3.4799999999999998E-2</v>
      </c>
      <c r="Q70">
        <f t="shared" si="47"/>
        <v>-1.8000000000000002E-2</v>
      </c>
      <c r="R70">
        <f t="shared" si="48"/>
        <v>-1.9199999999999998E-2</v>
      </c>
      <c r="S70">
        <v>1</v>
      </c>
      <c r="T70">
        <v>1</v>
      </c>
      <c r="U70">
        <f t="shared" si="49"/>
        <v>0.70000000000000007</v>
      </c>
      <c r="V70">
        <f t="shared" si="50"/>
        <v>-5.28E-2</v>
      </c>
      <c r="W70">
        <f t="shared" si="51"/>
        <v>0.40250000000000008</v>
      </c>
      <c r="X70">
        <f t="shared" si="52"/>
        <v>-5.9760000000000008E-2</v>
      </c>
      <c r="Y70">
        <f t="shared" si="53"/>
        <v>2.2176000000000001E-3</v>
      </c>
      <c r="Z70">
        <v>0.6</v>
      </c>
      <c r="AA70">
        <f t="shared" si="54"/>
        <v>0.36744233600000009</v>
      </c>
    </row>
    <row r="71" spans="1:28" x14ac:dyDescent="0.2">
      <c r="A71">
        <v>1.1000000000000001</v>
      </c>
      <c r="B71">
        <v>0.9</v>
      </c>
      <c r="C71">
        <v>0.46</v>
      </c>
      <c r="D71">
        <v>0.5</v>
      </c>
      <c r="E71">
        <v>-1.05</v>
      </c>
      <c r="F71">
        <v>-0.87</v>
      </c>
      <c r="G71">
        <v>-0.45</v>
      </c>
      <c r="H71">
        <v>-0.48</v>
      </c>
      <c r="I71">
        <v>0.5</v>
      </c>
      <c r="J71">
        <v>0.04</v>
      </c>
      <c r="K71">
        <f t="shared" si="41"/>
        <v>0.57500000000000007</v>
      </c>
      <c r="L71">
        <f t="shared" si="42"/>
        <v>0.46500000000000002</v>
      </c>
      <c r="M71">
        <f t="shared" si="43"/>
        <v>0.23500000000000001</v>
      </c>
      <c r="N71">
        <f t="shared" si="44"/>
        <v>0.26</v>
      </c>
      <c r="O71">
        <f t="shared" si="45"/>
        <v>-4.2000000000000003E-2</v>
      </c>
      <c r="P71">
        <f t="shared" si="46"/>
        <v>-3.4799999999999998E-2</v>
      </c>
      <c r="Q71">
        <f t="shared" si="47"/>
        <v>-1.8000000000000002E-2</v>
      </c>
      <c r="R71">
        <f t="shared" si="48"/>
        <v>-1.9199999999999998E-2</v>
      </c>
      <c r="S71">
        <v>1</v>
      </c>
      <c r="T71">
        <v>1</v>
      </c>
      <c r="U71">
        <f t="shared" si="49"/>
        <v>0.70000000000000007</v>
      </c>
      <c r="V71">
        <f t="shared" si="50"/>
        <v>-5.28E-2</v>
      </c>
      <c r="W71">
        <f t="shared" si="51"/>
        <v>0.40250000000000008</v>
      </c>
      <c r="X71">
        <f t="shared" si="52"/>
        <v>-5.9760000000000008E-2</v>
      </c>
      <c r="Y71">
        <f t="shared" si="53"/>
        <v>2.2176000000000001E-3</v>
      </c>
      <c r="Z71">
        <v>0.7</v>
      </c>
      <c r="AA71">
        <f t="shared" si="54"/>
        <v>0.36175462400000008</v>
      </c>
    </row>
    <row r="72" spans="1:28" x14ac:dyDescent="0.2">
      <c r="A72">
        <v>1.1000000000000001</v>
      </c>
      <c r="B72">
        <v>0.9</v>
      </c>
      <c r="C72">
        <v>0.46</v>
      </c>
      <c r="D72">
        <v>0.5</v>
      </c>
      <c r="E72">
        <v>-1.05</v>
      </c>
      <c r="F72">
        <v>-0.87</v>
      </c>
      <c r="G72">
        <v>-0.45</v>
      </c>
      <c r="H72">
        <v>-0.48</v>
      </c>
      <c r="I72">
        <v>0.5</v>
      </c>
      <c r="J72">
        <v>0.04</v>
      </c>
      <c r="K72">
        <f t="shared" si="41"/>
        <v>0.57500000000000007</v>
      </c>
      <c r="L72">
        <f t="shared" si="42"/>
        <v>0.46500000000000002</v>
      </c>
      <c r="M72">
        <f t="shared" si="43"/>
        <v>0.23500000000000001</v>
      </c>
      <c r="N72">
        <f t="shared" si="44"/>
        <v>0.26</v>
      </c>
      <c r="O72">
        <f t="shared" si="45"/>
        <v>-4.2000000000000003E-2</v>
      </c>
      <c r="P72">
        <f t="shared" si="46"/>
        <v>-3.4799999999999998E-2</v>
      </c>
      <c r="Q72">
        <f t="shared" si="47"/>
        <v>-1.8000000000000002E-2</v>
      </c>
      <c r="R72">
        <f t="shared" si="48"/>
        <v>-1.9199999999999998E-2</v>
      </c>
      <c r="S72">
        <v>1</v>
      </c>
      <c r="T72">
        <v>1</v>
      </c>
      <c r="U72">
        <f t="shared" si="49"/>
        <v>0.70000000000000007</v>
      </c>
      <c r="V72">
        <f t="shared" si="50"/>
        <v>-5.28E-2</v>
      </c>
      <c r="W72">
        <f t="shared" si="51"/>
        <v>0.40250000000000008</v>
      </c>
      <c r="X72">
        <f t="shared" si="52"/>
        <v>-5.9760000000000008E-2</v>
      </c>
      <c r="Y72">
        <f t="shared" si="53"/>
        <v>2.2176000000000001E-3</v>
      </c>
      <c r="Z72">
        <v>0.8</v>
      </c>
      <c r="AA72">
        <f t="shared" si="54"/>
        <v>0.35611126400000004</v>
      </c>
    </row>
    <row r="73" spans="1:28" x14ac:dyDescent="0.2">
      <c r="A73">
        <v>1.1000000000000001</v>
      </c>
      <c r="B73">
        <v>0.9</v>
      </c>
      <c r="C73">
        <v>0.46</v>
      </c>
      <c r="D73">
        <v>0.5</v>
      </c>
      <c r="E73">
        <v>-1.05</v>
      </c>
      <c r="F73">
        <v>-0.87</v>
      </c>
      <c r="G73">
        <v>-0.45</v>
      </c>
      <c r="H73">
        <v>-0.48</v>
      </c>
      <c r="I73">
        <v>0.5</v>
      </c>
      <c r="J73">
        <v>0.04</v>
      </c>
      <c r="K73">
        <f t="shared" si="41"/>
        <v>0.57500000000000007</v>
      </c>
      <c r="L73">
        <f t="shared" si="42"/>
        <v>0.46500000000000002</v>
      </c>
      <c r="M73">
        <f t="shared" si="43"/>
        <v>0.23500000000000001</v>
      </c>
      <c r="N73">
        <f t="shared" si="44"/>
        <v>0.26</v>
      </c>
      <c r="O73">
        <f t="shared" si="45"/>
        <v>-4.2000000000000003E-2</v>
      </c>
      <c r="P73">
        <f t="shared" si="46"/>
        <v>-3.4799999999999998E-2</v>
      </c>
      <c r="Q73">
        <f t="shared" si="47"/>
        <v>-1.8000000000000002E-2</v>
      </c>
      <c r="R73">
        <f t="shared" si="48"/>
        <v>-1.9199999999999998E-2</v>
      </c>
      <c r="S73">
        <v>1</v>
      </c>
      <c r="T73">
        <v>1</v>
      </c>
      <c r="U73">
        <f t="shared" si="49"/>
        <v>0.70000000000000007</v>
      </c>
      <c r="V73">
        <f t="shared" si="50"/>
        <v>-5.28E-2</v>
      </c>
      <c r="W73">
        <f t="shared" si="51"/>
        <v>0.40250000000000008</v>
      </c>
      <c r="X73">
        <f t="shared" si="52"/>
        <v>-5.9760000000000008E-2</v>
      </c>
      <c r="Y73">
        <f t="shared" si="53"/>
        <v>2.2176000000000001E-3</v>
      </c>
      <c r="Z73">
        <v>0.9</v>
      </c>
      <c r="AA73">
        <f t="shared" si="54"/>
        <v>0.35051225600000008</v>
      </c>
    </row>
    <row r="74" spans="1:28" x14ac:dyDescent="0.2">
      <c r="A74">
        <v>1.1000000000000001</v>
      </c>
      <c r="B74">
        <v>0.9</v>
      </c>
      <c r="C74">
        <v>0.46</v>
      </c>
      <c r="D74">
        <v>0.5</v>
      </c>
      <c r="E74">
        <v>-1.05</v>
      </c>
      <c r="F74">
        <v>-0.87</v>
      </c>
      <c r="G74">
        <v>-0.45</v>
      </c>
      <c r="H74">
        <v>-0.48</v>
      </c>
      <c r="I74">
        <v>0.5</v>
      </c>
      <c r="J74">
        <v>0.04</v>
      </c>
      <c r="K74">
        <f t="shared" si="41"/>
        <v>0.57500000000000007</v>
      </c>
      <c r="L74">
        <f t="shared" si="42"/>
        <v>0.46500000000000002</v>
      </c>
      <c r="M74">
        <f t="shared" si="43"/>
        <v>0.23500000000000001</v>
      </c>
      <c r="N74">
        <f t="shared" si="44"/>
        <v>0.26</v>
      </c>
      <c r="O74">
        <f t="shared" si="45"/>
        <v>-4.2000000000000003E-2</v>
      </c>
      <c r="P74">
        <f t="shared" si="46"/>
        <v>-3.4799999999999998E-2</v>
      </c>
      <c r="Q74">
        <f t="shared" si="47"/>
        <v>-1.8000000000000002E-2</v>
      </c>
      <c r="R74">
        <f t="shared" si="48"/>
        <v>-1.9199999999999998E-2</v>
      </c>
      <c r="S74">
        <v>1</v>
      </c>
      <c r="T74">
        <v>1</v>
      </c>
      <c r="U74">
        <f t="shared" si="49"/>
        <v>0.70000000000000007</v>
      </c>
      <c r="V74">
        <f t="shared" si="50"/>
        <v>-5.28E-2</v>
      </c>
      <c r="W74">
        <f t="shared" si="51"/>
        <v>0.40250000000000008</v>
      </c>
      <c r="X74">
        <f t="shared" si="52"/>
        <v>-5.9760000000000008E-2</v>
      </c>
      <c r="Y74">
        <f t="shared" si="53"/>
        <v>2.2176000000000001E-3</v>
      </c>
      <c r="Z74">
        <v>1</v>
      </c>
      <c r="AA74">
        <f t="shared" si="54"/>
        <v>0.34495760000000003</v>
      </c>
    </row>
    <row r="75" spans="1:28" x14ac:dyDescent="0.2">
      <c r="A75">
        <v>1.1000000000000001</v>
      </c>
      <c r="B75">
        <v>0.9</v>
      </c>
      <c r="C75">
        <v>0.46</v>
      </c>
      <c r="D75">
        <v>0.5</v>
      </c>
      <c r="E75">
        <v>-1.05</v>
      </c>
      <c r="F75">
        <v>-0.87</v>
      </c>
      <c r="G75">
        <v>-0.45</v>
      </c>
      <c r="H75">
        <v>-0.48</v>
      </c>
      <c r="I75">
        <v>0.5</v>
      </c>
      <c r="J75">
        <v>0.04</v>
      </c>
      <c r="K75">
        <f t="shared" si="41"/>
        <v>0.57500000000000007</v>
      </c>
      <c r="L75">
        <f t="shared" si="42"/>
        <v>0.46500000000000002</v>
      </c>
      <c r="M75">
        <f t="shared" si="43"/>
        <v>0.23500000000000001</v>
      </c>
      <c r="N75">
        <f t="shared" si="44"/>
        <v>0.26</v>
      </c>
      <c r="O75">
        <f t="shared" si="45"/>
        <v>-4.2000000000000003E-2</v>
      </c>
      <c r="P75">
        <f t="shared" si="46"/>
        <v>-3.4799999999999998E-2</v>
      </c>
      <c r="Q75">
        <f t="shared" si="47"/>
        <v>-1.8000000000000002E-2</v>
      </c>
      <c r="R75">
        <f t="shared" si="48"/>
        <v>-1.9199999999999998E-2</v>
      </c>
      <c r="S75">
        <v>1</v>
      </c>
      <c r="T75">
        <v>1</v>
      </c>
      <c r="U75">
        <f t="shared" si="49"/>
        <v>0.70000000000000007</v>
      </c>
      <c r="V75">
        <f t="shared" si="50"/>
        <v>-5.28E-2</v>
      </c>
      <c r="W75">
        <f t="shared" si="51"/>
        <v>0.40250000000000008</v>
      </c>
      <c r="X75">
        <f t="shared" si="52"/>
        <v>-5.9760000000000008E-2</v>
      </c>
      <c r="Y75">
        <f t="shared" si="53"/>
        <v>2.2176000000000001E-3</v>
      </c>
      <c r="Z75">
        <v>1.1000000000000001</v>
      </c>
      <c r="AA75">
        <f t="shared" si="54"/>
        <v>0.33944729600000006</v>
      </c>
    </row>
    <row r="76" spans="1:28" x14ac:dyDescent="0.2">
      <c r="A76">
        <v>1.1000000000000001</v>
      </c>
      <c r="B76">
        <v>0.9</v>
      </c>
      <c r="C76">
        <v>0.46</v>
      </c>
      <c r="D76">
        <v>0.5</v>
      </c>
      <c r="E76">
        <v>-1.05</v>
      </c>
      <c r="F76">
        <v>-0.87</v>
      </c>
      <c r="G76">
        <v>-0.45</v>
      </c>
      <c r="H76">
        <v>-0.48</v>
      </c>
      <c r="I76">
        <v>0.5</v>
      </c>
      <c r="J76">
        <v>0.04</v>
      </c>
      <c r="K76">
        <f t="shared" si="41"/>
        <v>0.57500000000000007</v>
      </c>
      <c r="L76">
        <f t="shared" si="42"/>
        <v>0.46500000000000002</v>
      </c>
      <c r="M76">
        <f t="shared" si="43"/>
        <v>0.23500000000000001</v>
      </c>
      <c r="N76">
        <f t="shared" si="44"/>
        <v>0.26</v>
      </c>
      <c r="O76">
        <f t="shared" si="45"/>
        <v>-4.2000000000000003E-2</v>
      </c>
      <c r="P76">
        <f t="shared" si="46"/>
        <v>-3.4799999999999998E-2</v>
      </c>
      <c r="Q76">
        <f t="shared" si="47"/>
        <v>-1.8000000000000002E-2</v>
      </c>
      <c r="R76">
        <f t="shared" si="48"/>
        <v>-1.9199999999999998E-2</v>
      </c>
      <c r="S76">
        <v>1</v>
      </c>
      <c r="T76">
        <v>1</v>
      </c>
      <c r="U76">
        <f t="shared" si="49"/>
        <v>0.70000000000000007</v>
      </c>
      <c r="V76">
        <f t="shared" si="50"/>
        <v>-5.28E-2</v>
      </c>
      <c r="W76">
        <f t="shared" si="51"/>
        <v>0.40250000000000008</v>
      </c>
      <c r="X76">
        <f t="shared" si="52"/>
        <v>-5.9760000000000008E-2</v>
      </c>
      <c r="Y76">
        <f t="shared" si="53"/>
        <v>2.2176000000000001E-3</v>
      </c>
      <c r="Z76">
        <v>1.2</v>
      </c>
      <c r="AA76">
        <f t="shared" si="54"/>
        <v>0.33398134400000007</v>
      </c>
      <c r="AB76" t="s">
        <v>2</v>
      </c>
    </row>
    <row r="78" spans="1:28" x14ac:dyDescent="0.2">
      <c r="A78">
        <v>1.1000000000000001</v>
      </c>
      <c r="B78">
        <v>0.9</v>
      </c>
      <c r="C78">
        <v>0.46</v>
      </c>
      <c r="D78">
        <v>0.5</v>
      </c>
      <c r="E78">
        <v>-1.05</v>
      </c>
      <c r="F78">
        <v>-0.87</v>
      </c>
      <c r="G78">
        <v>-0.45</v>
      </c>
      <c r="H78">
        <v>-0.48</v>
      </c>
      <c r="I78">
        <v>0.5</v>
      </c>
      <c r="J78">
        <v>0.04</v>
      </c>
      <c r="K78">
        <f t="shared" ref="K78" si="55">A78+E78*I78</f>
        <v>0.57500000000000007</v>
      </c>
      <c r="L78">
        <f t="shared" ref="L78" si="56">B78+F78*I78</f>
        <v>0.46500000000000002</v>
      </c>
      <c r="M78">
        <f t="shared" ref="M78" si="57">C78+G78*I78</f>
        <v>0.23500000000000001</v>
      </c>
      <c r="N78">
        <f t="shared" ref="N78" si="58">D78+H78*I78</f>
        <v>0.26</v>
      </c>
      <c r="O78">
        <f t="shared" ref="O78" si="59">E78*J78</f>
        <v>-4.2000000000000003E-2</v>
      </c>
      <c r="P78">
        <f t="shared" ref="P78" si="60">F78*J78</f>
        <v>-3.4799999999999998E-2</v>
      </c>
      <c r="Q78">
        <f t="shared" ref="Q78" si="61">G78*J78</f>
        <v>-1.8000000000000002E-2</v>
      </c>
      <c r="R78">
        <f t="shared" ref="R78" si="62">H78*J78</f>
        <v>-1.9199999999999998E-2</v>
      </c>
      <c r="S78">
        <v>1</v>
      </c>
      <c r="T78">
        <v>-1</v>
      </c>
      <c r="U78">
        <f t="shared" ref="U78" si="63">IF(T78&gt;0, L78*S78+M78*ABS(T78),L78*S78+N78*ABS(T78))</f>
        <v>0.72500000000000009</v>
      </c>
      <c r="V78">
        <f t="shared" ref="V78" si="64">IF(T78&gt;0, P78*S78+Q78*ABS(T78),P78*S78+R78*ABS(T78))</f>
        <v>-5.3999999999999992E-2</v>
      </c>
      <c r="W78">
        <f t="shared" ref="W78" si="65">K78*U78</f>
        <v>0.41687500000000011</v>
      </c>
      <c r="X78">
        <f t="shared" ref="X78" si="66">K78*V78+U78*O78</f>
        <v>-6.1499999999999999E-2</v>
      </c>
      <c r="Y78">
        <f t="shared" ref="Y78" si="67">O78*V78</f>
        <v>2.2679999999999996E-3</v>
      </c>
      <c r="Z78">
        <v>-1</v>
      </c>
      <c r="AA78">
        <f t="shared" si="54"/>
        <v>0.4806430000000001</v>
      </c>
    </row>
    <row r="79" spans="1:28" x14ac:dyDescent="0.2">
      <c r="A79">
        <v>1.1000000000000001</v>
      </c>
      <c r="B79">
        <v>0.9</v>
      </c>
      <c r="C79">
        <v>0.46</v>
      </c>
      <c r="D79">
        <v>0.5</v>
      </c>
      <c r="E79">
        <v>-1.05</v>
      </c>
      <c r="F79">
        <v>-0.87</v>
      </c>
      <c r="G79">
        <v>-0.45</v>
      </c>
      <c r="H79">
        <v>-0.48</v>
      </c>
      <c r="I79">
        <v>0.5</v>
      </c>
      <c r="J79">
        <v>0.04</v>
      </c>
      <c r="K79">
        <f t="shared" ref="K79:K100" si="68">A79+E79*I79</f>
        <v>0.57500000000000007</v>
      </c>
      <c r="L79">
        <f t="shared" ref="L79:L100" si="69">B79+F79*I79</f>
        <v>0.46500000000000002</v>
      </c>
      <c r="M79">
        <f t="shared" ref="M79:M100" si="70">C79+G79*I79</f>
        <v>0.23500000000000001</v>
      </c>
      <c r="N79">
        <f t="shared" ref="N79:N100" si="71">D79+H79*I79</f>
        <v>0.26</v>
      </c>
      <c r="O79">
        <f t="shared" ref="O79:O100" si="72">E79*J79</f>
        <v>-4.2000000000000003E-2</v>
      </c>
      <c r="P79">
        <f t="shared" ref="P79:P100" si="73">F79*J79</f>
        <v>-3.4799999999999998E-2</v>
      </c>
      <c r="Q79">
        <f t="shared" ref="Q79:Q100" si="74">G79*J79</f>
        <v>-1.8000000000000002E-2</v>
      </c>
      <c r="R79">
        <f t="shared" ref="R79:R100" si="75">H79*J79</f>
        <v>-1.9199999999999998E-2</v>
      </c>
      <c r="S79">
        <v>1</v>
      </c>
      <c r="T79">
        <v>-1</v>
      </c>
      <c r="U79">
        <f t="shared" ref="U79:U100" si="76">IF(T79&gt;0, L79*S79+M79*ABS(T79),L79*S79+N79*ABS(T79))</f>
        <v>0.72500000000000009</v>
      </c>
      <c r="V79">
        <f t="shared" ref="V79:V100" si="77">IF(T79&gt;0, P79*S79+Q79*ABS(T79),P79*S79+R79*ABS(T79))</f>
        <v>-5.3999999999999992E-2</v>
      </c>
      <c r="W79">
        <f t="shared" ref="W79:W100" si="78">K79*U79</f>
        <v>0.41687500000000011</v>
      </c>
      <c r="X79">
        <f t="shared" ref="X79:X100" si="79">K79*V79+U79*O79</f>
        <v>-6.1499999999999999E-2</v>
      </c>
      <c r="Y79">
        <f t="shared" ref="Y79:Y100" si="80">O79*V79</f>
        <v>2.2679999999999996E-3</v>
      </c>
      <c r="Z79">
        <v>-0.9</v>
      </c>
      <c r="AA79">
        <f t="shared" si="54"/>
        <v>0.47406208000000011</v>
      </c>
    </row>
    <row r="80" spans="1:28" x14ac:dyDescent="0.2">
      <c r="A80">
        <v>1.1000000000000001</v>
      </c>
      <c r="B80">
        <v>0.9</v>
      </c>
      <c r="C80">
        <v>0.46</v>
      </c>
      <c r="D80">
        <v>0.5</v>
      </c>
      <c r="E80">
        <v>-1.05</v>
      </c>
      <c r="F80">
        <v>-0.87</v>
      </c>
      <c r="G80">
        <v>-0.45</v>
      </c>
      <c r="H80">
        <v>-0.48</v>
      </c>
      <c r="I80">
        <v>0.5</v>
      </c>
      <c r="J80">
        <v>0.04</v>
      </c>
      <c r="K80">
        <f t="shared" si="68"/>
        <v>0.57500000000000007</v>
      </c>
      <c r="L80">
        <f t="shared" si="69"/>
        <v>0.46500000000000002</v>
      </c>
      <c r="M80">
        <f t="shared" si="70"/>
        <v>0.23500000000000001</v>
      </c>
      <c r="N80">
        <f t="shared" si="71"/>
        <v>0.26</v>
      </c>
      <c r="O80">
        <f t="shared" si="72"/>
        <v>-4.2000000000000003E-2</v>
      </c>
      <c r="P80">
        <f t="shared" si="73"/>
        <v>-3.4799999999999998E-2</v>
      </c>
      <c r="Q80">
        <f t="shared" si="74"/>
        <v>-1.8000000000000002E-2</v>
      </c>
      <c r="R80">
        <f t="shared" si="75"/>
        <v>-1.9199999999999998E-2</v>
      </c>
      <c r="S80">
        <v>1</v>
      </c>
      <c r="T80">
        <v>-1</v>
      </c>
      <c r="U80">
        <f t="shared" si="76"/>
        <v>0.72500000000000009</v>
      </c>
      <c r="V80">
        <f t="shared" si="77"/>
        <v>-5.3999999999999992E-2</v>
      </c>
      <c r="W80">
        <f t="shared" si="78"/>
        <v>0.41687500000000011</v>
      </c>
      <c r="X80">
        <f t="shared" si="79"/>
        <v>-6.1499999999999999E-2</v>
      </c>
      <c r="Y80">
        <f t="shared" si="80"/>
        <v>2.2679999999999996E-3</v>
      </c>
      <c r="Z80">
        <v>-0.8</v>
      </c>
      <c r="AA80">
        <f t="shared" si="54"/>
        <v>0.46752652000000011</v>
      </c>
    </row>
    <row r="81" spans="1:27" x14ac:dyDescent="0.2">
      <c r="A81">
        <v>1.1000000000000001</v>
      </c>
      <c r="B81">
        <v>0.9</v>
      </c>
      <c r="C81">
        <v>0.46</v>
      </c>
      <c r="D81">
        <v>0.5</v>
      </c>
      <c r="E81">
        <v>-1.05</v>
      </c>
      <c r="F81">
        <v>-0.87</v>
      </c>
      <c r="G81">
        <v>-0.45</v>
      </c>
      <c r="H81">
        <v>-0.48</v>
      </c>
      <c r="I81">
        <v>0.5</v>
      </c>
      <c r="J81">
        <v>0.04</v>
      </c>
      <c r="K81">
        <f t="shared" si="68"/>
        <v>0.57500000000000007</v>
      </c>
      <c r="L81">
        <f t="shared" si="69"/>
        <v>0.46500000000000002</v>
      </c>
      <c r="M81">
        <f t="shared" si="70"/>
        <v>0.23500000000000001</v>
      </c>
      <c r="N81">
        <f t="shared" si="71"/>
        <v>0.26</v>
      </c>
      <c r="O81">
        <f t="shared" si="72"/>
        <v>-4.2000000000000003E-2</v>
      </c>
      <c r="P81">
        <f t="shared" si="73"/>
        <v>-3.4799999999999998E-2</v>
      </c>
      <c r="Q81">
        <f t="shared" si="74"/>
        <v>-1.8000000000000002E-2</v>
      </c>
      <c r="R81">
        <f t="shared" si="75"/>
        <v>-1.9199999999999998E-2</v>
      </c>
      <c r="S81">
        <v>1</v>
      </c>
      <c r="T81">
        <v>-1</v>
      </c>
      <c r="U81">
        <f t="shared" si="76"/>
        <v>0.72500000000000009</v>
      </c>
      <c r="V81">
        <f t="shared" si="77"/>
        <v>-5.3999999999999992E-2</v>
      </c>
      <c r="W81">
        <f t="shared" si="78"/>
        <v>0.41687500000000011</v>
      </c>
      <c r="X81">
        <f t="shared" si="79"/>
        <v>-6.1499999999999999E-2</v>
      </c>
      <c r="Y81">
        <f t="shared" si="80"/>
        <v>2.2679999999999996E-3</v>
      </c>
      <c r="Z81">
        <v>-0.7</v>
      </c>
      <c r="AA81">
        <f t="shared" si="54"/>
        <v>0.46103632000000011</v>
      </c>
    </row>
    <row r="82" spans="1:27" x14ac:dyDescent="0.2">
      <c r="A82">
        <v>1.1000000000000001</v>
      </c>
      <c r="B82">
        <v>0.9</v>
      </c>
      <c r="C82">
        <v>0.46</v>
      </c>
      <c r="D82">
        <v>0.5</v>
      </c>
      <c r="E82">
        <v>-1.05</v>
      </c>
      <c r="F82">
        <v>-0.87</v>
      </c>
      <c r="G82">
        <v>-0.45</v>
      </c>
      <c r="H82">
        <v>-0.48</v>
      </c>
      <c r="I82">
        <v>0.5</v>
      </c>
      <c r="J82">
        <v>0.04</v>
      </c>
      <c r="K82">
        <f t="shared" si="68"/>
        <v>0.57500000000000007</v>
      </c>
      <c r="L82">
        <f t="shared" si="69"/>
        <v>0.46500000000000002</v>
      </c>
      <c r="M82">
        <f t="shared" si="70"/>
        <v>0.23500000000000001</v>
      </c>
      <c r="N82">
        <f t="shared" si="71"/>
        <v>0.26</v>
      </c>
      <c r="O82">
        <f t="shared" si="72"/>
        <v>-4.2000000000000003E-2</v>
      </c>
      <c r="P82">
        <f t="shared" si="73"/>
        <v>-3.4799999999999998E-2</v>
      </c>
      <c r="Q82">
        <f t="shared" si="74"/>
        <v>-1.8000000000000002E-2</v>
      </c>
      <c r="R82">
        <f t="shared" si="75"/>
        <v>-1.9199999999999998E-2</v>
      </c>
      <c r="S82">
        <v>1</v>
      </c>
      <c r="T82">
        <v>-1</v>
      </c>
      <c r="U82">
        <f t="shared" si="76"/>
        <v>0.72500000000000009</v>
      </c>
      <c r="V82">
        <f t="shared" si="77"/>
        <v>-5.3999999999999992E-2</v>
      </c>
      <c r="W82">
        <f t="shared" si="78"/>
        <v>0.41687500000000011</v>
      </c>
      <c r="X82">
        <f t="shared" si="79"/>
        <v>-6.1499999999999999E-2</v>
      </c>
      <c r="Y82">
        <f t="shared" si="80"/>
        <v>2.2679999999999996E-3</v>
      </c>
      <c r="Z82">
        <v>-0.6</v>
      </c>
      <c r="AA82">
        <f t="shared" si="54"/>
        <v>0.4545914800000001</v>
      </c>
    </row>
    <row r="83" spans="1:27" x14ac:dyDescent="0.2">
      <c r="A83">
        <v>1.1000000000000001</v>
      </c>
      <c r="B83">
        <v>0.9</v>
      </c>
      <c r="C83">
        <v>0.46</v>
      </c>
      <c r="D83">
        <v>0.5</v>
      </c>
      <c r="E83">
        <v>-1.05</v>
      </c>
      <c r="F83">
        <v>-0.87</v>
      </c>
      <c r="G83">
        <v>-0.45</v>
      </c>
      <c r="H83">
        <v>-0.48</v>
      </c>
      <c r="I83">
        <v>0.5</v>
      </c>
      <c r="J83">
        <v>0.04</v>
      </c>
      <c r="K83">
        <f t="shared" si="68"/>
        <v>0.57500000000000007</v>
      </c>
      <c r="L83">
        <f t="shared" si="69"/>
        <v>0.46500000000000002</v>
      </c>
      <c r="M83">
        <f t="shared" si="70"/>
        <v>0.23500000000000001</v>
      </c>
      <c r="N83">
        <f t="shared" si="71"/>
        <v>0.26</v>
      </c>
      <c r="O83">
        <f t="shared" si="72"/>
        <v>-4.2000000000000003E-2</v>
      </c>
      <c r="P83">
        <f t="shared" si="73"/>
        <v>-3.4799999999999998E-2</v>
      </c>
      <c r="Q83">
        <f t="shared" si="74"/>
        <v>-1.8000000000000002E-2</v>
      </c>
      <c r="R83">
        <f t="shared" si="75"/>
        <v>-1.9199999999999998E-2</v>
      </c>
      <c r="S83">
        <v>1</v>
      </c>
      <c r="T83">
        <v>-1</v>
      </c>
      <c r="U83">
        <f t="shared" si="76"/>
        <v>0.72500000000000009</v>
      </c>
      <c r="V83">
        <f t="shared" si="77"/>
        <v>-5.3999999999999992E-2</v>
      </c>
      <c r="W83">
        <f t="shared" si="78"/>
        <v>0.41687500000000011</v>
      </c>
      <c r="X83">
        <f t="shared" si="79"/>
        <v>-6.1499999999999999E-2</v>
      </c>
      <c r="Y83">
        <f t="shared" si="80"/>
        <v>2.2679999999999996E-3</v>
      </c>
      <c r="Z83">
        <v>-0.5</v>
      </c>
      <c r="AA83">
        <f t="shared" si="54"/>
        <v>0.44819200000000009</v>
      </c>
    </row>
    <row r="84" spans="1:27" x14ac:dyDescent="0.2">
      <c r="A84">
        <v>1.1000000000000001</v>
      </c>
      <c r="B84">
        <v>0.9</v>
      </c>
      <c r="C84">
        <v>0.46</v>
      </c>
      <c r="D84">
        <v>0.5</v>
      </c>
      <c r="E84">
        <v>-1.05</v>
      </c>
      <c r="F84">
        <v>-0.87</v>
      </c>
      <c r="G84">
        <v>-0.45</v>
      </c>
      <c r="H84">
        <v>-0.48</v>
      </c>
      <c r="I84">
        <v>0.5</v>
      </c>
      <c r="J84">
        <v>0.04</v>
      </c>
      <c r="K84">
        <f t="shared" si="68"/>
        <v>0.57500000000000007</v>
      </c>
      <c r="L84">
        <f t="shared" si="69"/>
        <v>0.46500000000000002</v>
      </c>
      <c r="M84">
        <f t="shared" si="70"/>
        <v>0.23500000000000001</v>
      </c>
      <c r="N84">
        <f t="shared" si="71"/>
        <v>0.26</v>
      </c>
      <c r="O84">
        <f t="shared" si="72"/>
        <v>-4.2000000000000003E-2</v>
      </c>
      <c r="P84">
        <f t="shared" si="73"/>
        <v>-3.4799999999999998E-2</v>
      </c>
      <c r="Q84">
        <f t="shared" si="74"/>
        <v>-1.8000000000000002E-2</v>
      </c>
      <c r="R84">
        <f t="shared" si="75"/>
        <v>-1.9199999999999998E-2</v>
      </c>
      <c r="S84">
        <v>1</v>
      </c>
      <c r="T84">
        <v>-1</v>
      </c>
      <c r="U84">
        <f t="shared" si="76"/>
        <v>0.72500000000000009</v>
      </c>
      <c r="V84">
        <f t="shared" si="77"/>
        <v>-5.3999999999999992E-2</v>
      </c>
      <c r="W84">
        <f t="shared" si="78"/>
        <v>0.41687500000000011</v>
      </c>
      <c r="X84">
        <f t="shared" si="79"/>
        <v>-6.1499999999999999E-2</v>
      </c>
      <c r="Y84">
        <f t="shared" si="80"/>
        <v>2.2679999999999996E-3</v>
      </c>
      <c r="Z84">
        <v>-0.4</v>
      </c>
      <c r="AA84">
        <f t="shared" si="54"/>
        <v>0.44183788000000013</v>
      </c>
    </row>
    <row r="85" spans="1:27" x14ac:dyDescent="0.2">
      <c r="A85">
        <v>1.1000000000000001</v>
      </c>
      <c r="B85">
        <v>0.9</v>
      </c>
      <c r="C85">
        <v>0.46</v>
      </c>
      <c r="D85">
        <v>0.5</v>
      </c>
      <c r="E85">
        <v>-1.05</v>
      </c>
      <c r="F85">
        <v>-0.87</v>
      </c>
      <c r="G85">
        <v>-0.45</v>
      </c>
      <c r="H85">
        <v>-0.48</v>
      </c>
      <c r="I85">
        <v>0.5</v>
      </c>
      <c r="J85">
        <v>0.04</v>
      </c>
      <c r="K85">
        <f t="shared" si="68"/>
        <v>0.57500000000000007</v>
      </c>
      <c r="L85">
        <f t="shared" si="69"/>
        <v>0.46500000000000002</v>
      </c>
      <c r="M85">
        <f t="shared" si="70"/>
        <v>0.23500000000000001</v>
      </c>
      <c r="N85">
        <f t="shared" si="71"/>
        <v>0.26</v>
      </c>
      <c r="O85">
        <f t="shared" si="72"/>
        <v>-4.2000000000000003E-2</v>
      </c>
      <c r="P85">
        <f t="shared" si="73"/>
        <v>-3.4799999999999998E-2</v>
      </c>
      <c r="Q85">
        <f t="shared" si="74"/>
        <v>-1.8000000000000002E-2</v>
      </c>
      <c r="R85">
        <f t="shared" si="75"/>
        <v>-1.9199999999999998E-2</v>
      </c>
      <c r="S85">
        <v>1</v>
      </c>
      <c r="T85">
        <v>-1</v>
      </c>
      <c r="U85">
        <f t="shared" si="76"/>
        <v>0.72500000000000009</v>
      </c>
      <c r="V85">
        <f t="shared" si="77"/>
        <v>-5.3999999999999992E-2</v>
      </c>
      <c r="W85">
        <f t="shared" si="78"/>
        <v>0.41687500000000011</v>
      </c>
      <c r="X85">
        <f t="shared" si="79"/>
        <v>-6.1499999999999999E-2</v>
      </c>
      <c r="Y85">
        <f t="shared" si="80"/>
        <v>2.2679999999999996E-3</v>
      </c>
      <c r="Z85">
        <v>-0.3</v>
      </c>
      <c r="AA85">
        <f t="shared" si="54"/>
        <v>0.4355291200000001</v>
      </c>
    </row>
    <row r="86" spans="1:27" x14ac:dyDescent="0.2">
      <c r="A86">
        <v>1.1000000000000001</v>
      </c>
      <c r="B86">
        <v>0.9</v>
      </c>
      <c r="C86">
        <v>0.46</v>
      </c>
      <c r="D86">
        <v>0.5</v>
      </c>
      <c r="E86">
        <v>-1.05</v>
      </c>
      <c r="F86">
        <v>-0.87</v>
      </c>
      <c r="G86">
        <v>-0.45</v>
      </c>
      <c r="H86">
        <v>-0.48</v>
      </c>
      <c r="I86">
        <v>0.5</v>
      </c>
      <c r="J86">
        <v>0.04</v>
      </c>
      <c r="K86">
        <f t="shared" si="68"/>
        <v>0.57500000000000007</v>
      </c>
      <c r="L86">
        <f t="shared" si="69"/>
        <v>0.46500000000000002</v>
      </c>
      <c r="M86">
        <f t="shared" si="70"/>
        <v>0.23500000000000001</v>
      </c>
      <c r="N86">
        <f t="shared" si="71"/>
        <v>0.26</v>
      </c>
      <c r="O86">
        <f t="shared" si="72"/>
        <v>-4.2000000000000003E-2</v>
      </c>
      <c r="P86">
        <f t="shared" si="73"/>
        <v>-3.4799999999999998E-2</v>
      </c>
      <c r="Q86">
        <f t="shared" si="74"/>
        <v>-1.8000000000000002E-2</v>
      </c>
      <c r="R86">
        <f t="shared" si="75"/>
        <v>-1.9199999999999998E-2</v>
      </c>
      <c r="S86">
        <v>1</v>
      </c>
      <c r="T86">
        <v>-1</v>
      </c>
      <c r="U86">
        <f t="shared" si="76"/>
        <v>0.72500000000000009</v>
      </c>
      <c r="V86">
        <f t="shared" si="77"/>
        <v>-5.3999999999999992E-2</v>
      </c>
      <c r="W86">
        <f t="shared" si="78"/>
        <v>0.41687500000000011</v>
      </c>
      <c r="X86">
        <f t="shared" si="79"/>
        <v>-6.1499999999999999E-2</v>
      </c>
      <c r="Y86">
        <f t="shared" si="80"/>
        <v>2.2679999999999996E-3</v>
      </c>
      <c r="Z86">
        <v>-0.2</v>
      </c>
      <c r="AA86">
        <f t="shared" si="54"/>
        <v>0.42926572000000007</v>
      </c>
    </row>
    <row r="87" spans="1:27" x14ac:dyDescent="0.2">
      <c r="A87">
        <v>1.1000000000000001</v>
      </c>
      <c r="B87">
        <v>0.9</v>
      </c>
      <c r="C87">
        <v>0.46</v>
      </c>
      <c r="D87">
        <v>0.5</v>
      </c>
      <c r="E87">
        <v>-1.05</v>
      </c>
      <c r="F87">
        <v>-0.87</v>
      </c>
      <c r="G87">
        <v>-0.45</v>
      </c>
      <c r="H87">
        <v>-0.48</v>
      </c>
      <c r="I87">
        <v>0.5</v>
      </c>
      <c r="J87">
        <v>0.04</v>
      </c>
      <c r="K87">
        <f t="shared" si="68"/>
        <v>0.57500000000000007</v>
      </c>
      <c r="L87">
        <f t="shared" si="69"/>
        <v>0.46500000000000002</v>
      </c>
      <c r="M87">
        <f t="shared" si="70"/>
        <v>0.23500000000000001</v>
      </c>
      <c r="N87">
        <f t="shared" si="71"/>
        <v>0.26</v>
      </c>
      <c r="O87">
        <f t="shared" si="72"/>
        <v>-4.2000000000000003E-2</v>
      </c>
      <c r="P87">
        <f t="shared" si="73"/>
        <v>-3.4799999999999998E-2</v>
      </c>
      <c r="Q87">
        <f t="shared" si="74"/>
        <v>-1.8000000000000002E-2</v>
      </c>
      <c r="R87">
        <f t="shared" si="75"/>
        <v>-1.9199999999999998E-2</v>
      </c>
      <c r="S87">
        <v>1</v>
      </c>
      <c r="T87">
        <v>-1</v>
      </c>
      <c r="U87">
        <f t="shared" si="76"/>
        <v>0.72500000000000009</v>
      </c>
      <c r="V87">
        <f t="shared" si="77"/>
        <v>-5.3999999999999992E-2</v>
      </c>
      <c r="W87">
        <f t="shared" si="78"/>
        <v>0.41687500000000011</v>
      </c>
      <c r="X87">
        <f t="shared" si="79"/>
        <v>-6.1499999999999999E-2</v>
      </c>
      <c r="Y87">
        <f t="shared" si="80"/>
        <v>2.2679999999999996E-3</v>
      </c>
      <c r="Z87">
        <v>-0.1</v>
      </c>
      <c r="AA87">
        <f t="shared" si="54"/>
        <v>0.42304768000000009</v>
      </c>
    </row>
    <row r="88" spans="1:27" x14ac:dyDescent="0.2">
      <c r="A88">
        <v>1.1000000000000001</v>
      </c>
      <c r="B88">
        <v>0.9</v>
      </c>
      <c r="C88">
        <v>0.46</v>
      </c>
      <c r="D88">
        <v>0.5</v>
      </c>
      <c r="E88">
        <v>-1.05</v>
      </c>
      <c r="F88">
        <v>-0.87</v>
      </c>
      <c r="G88">
        <v>-0.45</v>
      </c>
      <c r="H88">
        <v>-0.48</v>
      </c>
      <c r="I88">
        <v>0.5</v>
      </c>
      <c r="J88">
        <v>0.04</v>
      </c>
      <c r="K88">
        <f t="shared" si="68"/>
        <v>0.57500000000000007</v>
      </c>
      <c r="L88">
        <f t="shared" si="69"/>
        <v>0.46500000000000002</v>
      </c>
      <c r="M88">
        <f t="shared" si="70"/>
        <v>0.23500000000000001</v>
      </c>
      <c r="N88">
        <f t="shared" si="71"/>
        <v>0.26</v>
      </c>
      <c r="O88">
        <f t="shared" si="72"/>
        <v>-4.2000000000000003E-2</v>
      </c>
      <c r="P88">
        <f t="shared" si="73"/>
        <v>-3.4799999999999998E-2</v>
      </c>
      <c r="Q88">
        <f t="shared" si="74"/>
        <v>-1.8000000000000002E-2</v>
      </c>
      <c r="R88">
        <f t="shared" si="75"/>
        <v>-1.9199999999999998E-2</v>
      </c>
      <c r="S88">
        <v>1</v>
      </c>
      <c r="T88">
        <v>-1</v>
      </c>
      <c r="U88">
        <f t="shared" si="76"/>
        <v>0.72500000000000009</v>
      </c>
      <c r="V88">
        <f t="shared" si="77"/>
        <v>-5.3999999999999992E-2</v>
      </c>
      <c r="W88">
        <f t="shared" si="78"/>
        <v>0.41687500000000011</v>
      </c>
      <c r="X88">
        <f t="shared" si="79"/>
        <v>-6.1499999999999999E-2</v>
      </c>
      <c r="Y88">
        <f t="shared" si="80"/>
        <v>2.2679999999999996E-3</v>
      </c>
      <c r="Z88">
        <v>0</v>
      </c>
      <c r="AA88">
        <f t="shared" si="54"/>
        <v>0.41687500000000011</v>
      </c>
    </row>
    <row r="89" spans="1:27" x14ac:dyDescent="0.2">
      <c r="A89">
        <v>1.1000000000000001</v>
      </c>
      <c r="B89">
        <v>0.9</v>
      </c>
      <c r="C89">
        <v>0.46</v>
      </c>
      <c r="D89">
        <v>0.5</v>
      </c>
      <c r="E89">
        <v>-1.05</v>
      </c>
      <c r="F89">
        <v>-0.87</v>
      </c>
      <c r="G89">
        <v>-0.45</v>
      </c>
      <c r="H89">
        <v>-0.48</v>
      </c>
      <c r="I89">
        <v>0.5</v>
      </c>
      <c r="J89">
        <v>0.04</v>
      </c>
      <c r="K89">
        <f t="shared" si="68"/>
        <v>0.57500000000000007</v>
      </c>
      <c r="L89">
        <f t="shared" si="69"/>
        <v>0.46500000000000002</v>
      </c>
      <c r="M89">
        <f t="shared" si="70"/>
        <v>0.23500000000000001</v>
      </c>
      <c r="N89">
        <f t="shared" si="71"/>
        <v>0.26</v>
      </c>
      <c r="O89">
        <f t="shared" si="72"/>
        <v>-4.2000000000000003E-2</v>
      </c>
      <c r="P89">
        <f t="shared" si="73"/>
        <v>-3.4799999999999998E-2</v>
      </c>
      <c r="Q89">
        <f t="shared" si="74"/>
        <v>-1.8000000000000002E-2</v>
      </c>
      <c r="R89">
        <f t="shared" si="75"/>
        <v>-1.9199999999999998E-2</v>
      </c>
      <c r="S89">
        <v>1</v>
      </c>
      <c r="T89">
        <v>-1</v>
      </c>
      <c r="U89">
        <f t="shared" si="76"/>
        <v>0.72500000000000009</v>
      </c>
      <c r="V89">
        <f t="shared" si="77"/>
        <v>-5.3999999999999992E-2</v>
      </c>
      <c r="W89">
        <f t="shared" si="78"/>
        <v>0.41687500000000011</v>
      </c>
      <c r="X89">
        <f t="shared" si="79"/>
        <v>-6.1499999999999999E-2</v>
      </c>
      <c r="Y89">
        <f t="shared" si="80"/>
        <v>2.2679999999999996E-3</v>
      </c>
      <c r="Z89">
        <v>0.1</v>
      </c>
      <c r="AA89">
        <f t="shared" si="54"/>
        <v>0.41074768000000011</v>
      </c>
    </row>
    <row r="90" spans="1:27" x14ac:dyDescent="0.2">
      <c r="A90">
        <v>1.1000000000000001</v>
      </c>
      <c r="B90">
        <v>0.9</v>
      </c>
      <c r="C90">
        <v>0.46</v>
      </c>
      <c r="D90">
        <v>0.5</v>
      </c>
      <c r="E90">
        <v>-1.05</v>
      </c>
      <c r="F90">
        <v>-0.87</v>
      </c>
      <c r="G90">
        <v>-0.45</v>
      </c>
      <c r="H90">
        <v>-0.48</v>
      </c>
      <c r="I90">
        <v>0.5</v>
      </c>
      <c r="J90">
        <v>0.04</v>
      </c>
      <c r="K90">
        <f t="shared" si="68"/>
        <v>0.57500000000000007</v>
      </c>
      <c r="L90">
        <f t="shared" si="69"/>
        <v>0.46500000000000002</v>
      </c>
      <c r="M90">
        <f t="shared" si="70"/>
        <v>0.23500000000000001</v>
      </c>
      <c r="N90">
        <f t="shared" si="71"/>
        <v>0.26</v>
      </c>
      <c r="O90">
        <f t="shared" si="72"/>
        <v>-4.2000000000000003E-2</v>
      </c>
      <c r="P90">
        <f t="shared" si="73"/>
        <v>-3.4799999999999998E-2</v>
      </c>
      <c r="Q90">
        <f t="shared" si="74"/>
        <v>-1.8000000000000002E-2</v>
      </c>
      <c r="R90">
        <f t="shared" si="75"/>
        <v>-1.9199999999999998E-2</v>
      </c>
      <c r="S90">
        <v>1</v>
      </c>
      <c r="T90">
        <v>-1</v>
      </c>
      <c r="U90">
        <f t="shared" si="76"/>
        <v>0.72500000000000009</v>
      </c>
      <c r="V90">
        <f t="shared" si="77"/>
        <v>-5.3999999999999992E-2</v>
      </c>
      <c r="W90">
        <f t="shared" si="78"/>
        <v>0.41687500000000011</v>
      </c>
      <c r="X90">
        <f t="shared" si="79"/>
        <v>-6.1499999999999999E-2</v>
      </c>
      <c r="Y90">
        <f t="shared" si="80"/>
        <v>2.2679999999999996E-3</v>
      </c>
      <c r="Z90">
        <v>0.2</v>
      </c>
      <c r="AA90">
        <f t="shared" si="54"/>
        <v>0.40466572000000012</v>
      </c>
    </row>
    <row r="91" spans="1:27" x14ac:dyDescent="0.2">
      <c r="A91">
        <v>1.1000000000000001</v>
      </c>
      <c r="B91">
        <v>0.9</v>
      </c>
      <c r="C91">
        <v>0.46</v>
      </c>
      <c r="D91">
        <v>0.5</v>
      </c>
      <c r="E91">
        <v>-1.05</v>
      </c>
      <c r="F91">
        <v>-0.87</v>
      </c>
      <c r="G91">
        <v>-0.45</v>
      </c>
      <c r="H91">
        <v>-0.48</v>
      </c>
      <c r="I91">
        <v>0.5</v>
      </c>
      <c r="J91">
        <v>0.04</v>
      </c>
      <c r="K91">
        <f t="shared" si="68"/>
        <v>0.57500000000000007</v>
      </c>
      <c r="L91">
        <f t="shared" si="69"/>
        <v>0.46500000000000002</v>
      </c>
      <c r="M91">
        <f t="shared" si="70"/>
        <v>0.23500000000000001</v>
      </c>
      <c r="N91">
        <f t="shared" si="71"/>
        <v>0.26</v>
      </c>
      <c r="O91">
        <f t="shared" si="72"/>
        <v>-4.2000000000000003E-2</v>
      </c>
      <c r="P91">
        <f t="shared" si="73"/>
        <v>-3.4799999999999998E-2</v>
      </c>
      <c r="Q91">
        <f t="shared" si="74"/>
        <v>-1.8000000000000002E-2</v>
      </c>
      <c r="R91">
        <f t="shared" si="75"/>
        <v>-1.9199999999999998E-2</v>
      </c>
      <c r="S91">
        <v>1</v>
      </c>
      <c r="T91">
        <v>-1</v>
      </c>
      <c r="U91">
        <f t="shared" si="76"/>
        <v>0.72500000000000009</v>
      </c>
      <c r="V91">
        <f t="shared" si="77"/>
        <v>-5.3999999999999992E-2</v>
      </c>
      <c r="W91">
        <f t="shared" si="78"/>
        <v>0.41687500000000011</v>
      </c>
      <c r="X91">
        <f t="shared" si="79"/>
        <v>-6.1499999999999999E-2</v>
      </c>
      <c r="Y91">
        <f t="shared" si="80"/>
        <v>2.2679999999999996E-3</v>
      </c>
      <c r="Z91">
        <v>0.3</v>
      </c>
      <c r="AA91">
        <f t="shared" si="54"/>
        <v>0.39862912000000006</v>
      </c>
    </row>
    <row r="92" spans="1:27" x14ac:dyDescent="0.2">
      <c r="A92">
        <v>1.1000000000000001</v>
      </c>
      <c r="B92">
        <v>0.9</v>
      </c>
      <c r="C92">
        <v>0.46</v>
      </c>
      <c r="D92">
        <v>0.5</v>
      </c>
      <c r="E92">
        <v>-1.05</v>
      </c>
      <c r="F92">
        <v>-0.87</v>
      </c>
      <c r="G92">
        <v>-0.45</v>
      </c>
      <c r="H92">
        <v>-0.48</v>
      </c>
      <c r="I92">
        <v>0.5</v>
      </c>
      <c r="J92">
        <v>0.04</v>
      </c>
      <c r="K92">
        <f t="shared" si="68"/>
        <v>0.57500000000000007</v>
      </c>
      <c r="L92">
        <f t="shared" si="69"/>
        <v>0.46500000000000002</v>
      </c>
      <c r="M92">
        <f t="shared" si="70"/>
        <v>0.23500000000000001</v>
      </c>
      <c r="N92">
        <f t="shared" si="71"/>
        <v>0.26</v>
      </c>
      <c r="O92">
        <f t="shared" si="72"/>
        <v>-4.2000000000000003E-2</v>
      </c>
      <c r="P92">
        <f t="shared" si="73"/>
        <v>-3.4799999999999998E-2</v>
      </c>
      <c r="Q92">
        <f t="shared" si="74"/>
        <v>-1.8000000000000002E-2</v>
      </c>
      <c r="R92">
        <f t="shared" si="75"/>
        <v>-1.9199999999999998E-2</v>
      </c>
      <c r="S92">
        <v>1</v>
      </c>
      <c r="T92">
        <v>-1</v>
      </c>
      <c r="U92">
        <f t="shared" si="76"/>
        <v>0.72500000000000009</v>
      </c>
      <c r="V92">
        <f t="shared" si="77"/>
        <v>-5.3999999999999992E-2</v>
      </c>
      <c r="W92">
        <f t="shared" si="78"/>
        <v>0.41687500000000011</v>
      </c>
      <c r="X92">
        <f t="shared" si="79"/>
        <v>-6.1499999999999999E-2</v>
      </c>
      <c r="Y92">
        <f t="shared" si="80"/>
        <v>2.2679999999999996E-3</v>
      </c>
      <c r="Z92">
        <v>0.4</v>
      </c>
      <c r="AA92">
        <f t="shared" si="54"/>
        <v>0.39263788000000011</v>
      </c>
    </row>
    <row r="93" spans="1:27" x14ac:dyDescent="0.2">
      <c r="A93">
        <v>1.1000000000000001</v>
      </c>
      <c r="B93">
        <v>0.9</v>
      </c>
      <c r="C93">
        <v>0.46</v>
      </c>
      <c r="D93">
        <v>0.5</v>
      </c>
      <c r="E93">
        <v>-1.05</v>
      </c>
      <c r="F93">
        <v>-0.87</v>
      </c>
      <c r="G93">
        <v>-0.45</v>
      </c>
      <c r="H93">
        <v>-0.48</v>
      </c>
      <c r="I93">
        <v>0.5</v>
      </c>
      <c r="J93">
        <v>0.04</v>
      </c>
      <c r="K93">
        <f t="shared" si="68"/>
        <v>0.57500000000000007</v>
      </c>
      <c r="L93">
        <f t="shared" si="69"/>
        <v>0.46500000000000002</v>
      </c>
      <c r="M93">
        <f t="shared" si="70"/>
        <v>0.23500000000000001</v>
      </c>
      <c r="N93">
        <f t="shared" si="71"/>
        <v>0.26</v>
      </c>
      <c r="O93">
        <f t="shared" si="72"/>
        <v>-4.2000000000000003E-2</v>
      </c>
      <c r="P93">
        <f t="shared" si="73"/>
        <v>-3.4799999999999998E-2</v>
      </c>
      <c r="Q93">
        <f t="shared" si="74"/>
        <v>-1.8000000000000002E-2</v>
      </c>
      <c r="R93">
        <f t="shared" si="75"/>
        <v>-1.9199999999999998E-2</v>
      </c>
      <c r="S93">
        <v>1</v>
      </c>
      <c r="T93">
        <v>-1</v>
      </c>
      <c r="U93">
        <f t="shared" si="76"/>
        <v>0.72500000000000009</v>
      </c>
      <c r="V93">
        <f t="shared" si="77"/>
        <v>-5.3999999999999992E-2</v>
      </c>
      <c r="W93">
        <f t="shared" si="78"/>
        <v>0.41687500000000011</v>
      </c>
      <c r="X93">
        <f t="shared" si="79"/>
        <v>-6.1499999999999999E-2</v>
      </c>
      <c r="Y93">
        <f t="shared" si="80"/>
        <v>2.2679999999999996E-3</v>
      </c>
      <c r="Z93">
        <v>0.5</v>
      </c>
      <c r="AA93">
        <f t="shared" si="54"/>
        <v>0.38669200000000009</v>
      </c>
    </row>
    <row r="94" spans="1:27" x14ac:dyDescent="0.2">
      <c r="A94">
        <v>1.1000000000000001</v>
      </c>
      <c r="B94">
        <v>0.9</v>
      </c>
      <c r="C94">
        <v>0.46</v>
      </c>
      <c r="D94">
        <v>0.5</v>
      </c>
      <c r="E94">
        <v>-1.05</v>
      </c>
      <c r="F94">
        <v>-0.87</v>
      </c>
      <c r="G94">
        <v>-0.45</v>
      </c>
      <c r="H94">
        <v>-0.48</v>
      </c>
      <c r="I94">
        <v>0.5</v>
      </c>
      <c r="J94">
        <v>0.04</v>
      </c>
      <c r="K94">
        <f t="shared" si="68"/>
        <v>0.57500000000000007</v>
      </c>
      <c r="L94">
        <f t="shared" si="69"/>
        <v>0.46500000000000002</v>
      </c>
      <c r="M94">
        <f t="shared" si="70"/>
        <v>0.23500000000000001</v>
      </c>
      <c r="N94">
        <f t="shared" si="71"/>
        <v>0.26</v>
      </c>
      <c r="O94">
        <f t="shared" si="72"/>
        <v>-4.2000000000000003E-2</v>
      </c>
      <c r="P94">
        <f t="shared" si="73"/>
        <v>-3.4799999999999998E-2</v>
      </c>
      <c r="Q94">
        <f t="shared" si="74"/>
        <v>-1.8000000000000002E-2</v>
      </c>
      <c r="R94">
        <f t="shared" si="75"/>
        <v>-1.9199999999999998E-2</v>
      </c>
      <c r="S94">
        <v>1</v>
      </c>
      <c r="T94">
        <v>-1</v>
      </c>
      <c r="U94">
        <f t="shared" si="76"/>
        <v>0.72500000000000009</v>
      </c>
      <c r="V94">
        <f t="shared" si="77"/>
        <v>-5.3999999999999992E-2</v>
      </c>
      <c r="W94">
        <f t="shared" si="78"/>
        <v>0.41687500000000011</v>
      </c>
      <c r="X94">
        <f t="shared" si="79"/>
        <v>-6.1499999999999999E-2</v>
      </c>
      <c r="Y94">
        <f t="shared" si="80"/>
        <v>2.2679999999999996E-3</v>
      </c>
      <c r="Z94">
        <v>0.6</v>
      </c>
      <c r="AA94">
        <f t="shared" si="54"/>
        <v>0.38079148000000013</v>
      </c>
    </row>
    <row r="95" spans="1:27" x14ac:dyDescent="0.2">
      <c r="A95">
        <v>1.1000000000000001</v>
      </c>
      <c r="B95">
        <v>0.9</v>
      </c>
      <c r="C95">
        <v>0.46</v>
      </c>
      <c r="D95">
        <v>0.5</v>
      </c>
      <c r="E95">
        <v>-1.05</v>
      </c>
      <c r="F95">
        <v>-0.87</v>
      </c>
      <c r="G95">
        <v>-0.45</v>
      </c>
      <c r="H95">
        <v>-0.48</v>
      </c>
      <c r="I95">
        <v>0.5</v>
      </c>
      <c r="J95">
        <v>0.04</v>
      </c>
      <c r="K95">
        <f t="shared" si="68"/>
        <v>0.57500000000000007</v>
      </c>
      <c r="L95">
        <f t="shared" si="69"/>
        <v>0.46500000000000002</v>
      </c>
      <c r="M95">
        <f t="shared" si="70"/>
        <v>0.23500000000000001</v>
      </c>
      <c r="N95">
        <f t="shared" si="71"/>
        <v>0.26</v>
      </c>
      <c r="O95">
        <f t="shared" si="72"/>
        <v>-4.2000000000000003E-2</v>
      </c>
      <c r="P95">
        <f t="shared" si="73"/>
        <v>-3.4799999999999998E-2</v>
      </c>
      <c r="Q95">
        <f t="shared" si="74"/>
        <v>-1.8000000000000002E-2</v>
      </c>
      <c r="R95">
        <f t="shared" si="75"/>
        <v>-1.9199999999999998E-2</v>
      </c>
      <c r="S95">
        <v>1</v>
      </c>
      <c r="T95">
        <v>-1</v>
      </c>
      <c r="U95">
        <f t="shared" si="76"/>
        <v>0.72500000000000009</v>
      </c>
      <c r="V95">
        <f t="shared" si="77"/>
        <v>-5.3999999999999992E-2</v>
      </c>
      <c r="W95">
        <f t="shared" si="78"/>
        <v>0.41687500000000011</v>
      </c>
      <c r="X95">
        <f t="shared" si="79"/>
        <v>-6.1499999999999999E-2</v>
      </c>
      <c r="Y95">
        <f t="shared" si="80"/>
        <v>2.2679999999999996E-3</v>
      </c>
      <c r="Z95">
        <v>0.7</v>
      </c>
      <c r="AA95">
        <f t="shared" si="54"/>
        <v>0.37493632000000016</v>
      </c>
    </row>
    <row r="96" spans="1:27" x14ac:dyDescent="0.2">
      <c r="A96">
        <v>1.1000000000000001</v>
      </c>
      <c r="B96">
        <v>0.9</v>
      </c>
      <c r="C96">
        <v>0.46</v>
      </c>
      <c r="D96">
        <v>0.5</v>
      </c>
      <c r="E96">
        <v>-1.05</v>
      </c>
      <c r="F96">
        <v>-0.87</v>
      </c>
      <c r="G96">
        <v>-0.45</v>
      </c>
      <c r="H96">
        <v>-0.48</v>
      </c>
      <c r="I96">
        <v>0.5</v>
      </c>
      <c r="J96">
        <v>0.04</v>
      </c>
      <c r="K96">
        <f t="shared" si="68"/>
        <v>0.57500000000000007</v>
      </c>
      <c r="L96">
        <f t="shared" si="69"/>
        <v>0.46500000000000002</v>
      </c>
      <c r="M96">
        <f t="shared" si="70"/>
        <v>0.23500000000000001</v>
      </c>
      <c r="N96">
        <f t="shared" si="71"/>
        <v>0.26</v>
      </c>
      <c r="O96">
        <f t="shared" si="72"/>
        <v>-4.2000000000000003E-2</v>
      </c>
      <c r="P96">
        <f t="shared" si="73"/>
        <v>-3.4799999999999998E-2</v>
      </c>
      <c r="Q96">
        <f t="shared" si="74"/>
        <v>-1.8000000000000002E-2</v>
      </c>
      <c r="R96">
        <f t="shared" si="75"/>
        <v>-1.9199999999999998E-2</v>
      </c>
      <c r="S96">
        <v>1</v>
      </c>
      <c r="T96">
        <v>-1</v>
      </c>
      <c r="U96">
        <f t="shared" si="76"/>
        <v>0.72500000000000009</v>
      </c>
      <c r="V96">
        <f t="shared" si="77"/>
        <v>-5.3999999999999992E-2</v>
      </c>
      <c r="W96">
        <f t="shared" si="78"/>
        <v>0.41687500000000011</v>
      </c>
      <c r="X96">
        <f t="shared" si="79"/>
        <v>-6.1499999999999999E-2</v>
      </c>
      <c r="Y96">
        <f t="shared" si="80"/>
        <v>2.2679999999999996E-3</v>
      </c>
      <c r="Z96">
        <v>0.8</v>
      </c>
      <c r="AA96">
        <f t="shared" si="54"/>
        <v>0.36912652000000007</v>
      </c>
    </row>
    <row r="97" spans="1:28" x14ac:dyDescent="0.2">
      <c r="A97">
        <v>1.1000000000000001</v>
      </c>
      <c r="B97">
        <v>0.9</v>
      </c>
      <c r="C97">
        <v>0.46</v>
      </c>
      <c r="D97">
        <v>0.5</v>
      </c>
      <c r="E97">
        <v>-1.05</v>
      </c>
      <c r="F97">
        <v>-0.87</v>
      </c>
      <c r="G97">
        <v>-0.45</v>
      </c>
      <c r="H97">
        <v>-0.48</v>
      </c>
      <c r="I97">
        <v>0.5</v>
      </c>
      <c r="J97">
        <v>0.04</v>
      </c>
      <c r="K97">
        <f t="shared" si="68"/>
        <v>0.57500000000000007</v>
      </c>
      <c r="L97">
        <f t="shared" si="69"/>
        <v>0.46500000000000002</v>
      </c>
      <c r="M97">
        <f t="shared" si="70"/>
        <v>0.23500000000000001</v>
      </c>
      <c r="N97">
        <f t="shared" si="71"/>
        <v>0.26</v>
      </c>
      <c r="O97">
        <f t="shared" si="72"/>
        <v>-4.2000000000000003E-2</v>
      </c>
      <c r="P97">
        <f t="shared" si="73"/>
        <v>-3.4799999999999998E-2</v>
      </c>
      <c r="Q97">
        <f t="shared" si="74"/>
        <v>-1.8000000000000002E-2</v>
      </c>
      <c r="R97">
        <f t="shared" si="75"/>
        <v>-1.9199999999999998E-2</v>
      </c>
      <c r="S97">
        <v>1</v>
      </c>
      <c r="T97">
        <v>-1</v>
      </c>
      <c r="U97">
        <f t="shared" si="76"/>
        <v>0.72500000000000009</v>
      </c>
      <c r="V97">
        <f t="shared" si="77"/>
        <v>-5.3999999999999992E-2</v>
      </c>
      <c r="W97">
        <f t="shared" si="78"/>
        <v>0.41687500000000011</v>
      </c>
      <c r="X97">
        <f t="shared" si="79"/>
        <v>-6.1499999999999999E-2</v>
      </c>
      <c r="Y97">
        <f t="shared" si="80"/>
        <v>2.2679999999999996E-3</v>
      </c>
      <c r="Z97">
        <v>0.9</v>
      </c>
      <c r="AA97">
        <f t="shared" si="54"/>
        <v>0.36336208000000009</v>
      </c>
    </row>
    <row r="98" spans="1:28" x14ac:dyDescent="0.2">
      <c r="A98">
        <v>1.1000000000000001</v>
      </c>
      <c r="B98">
        <v>0.9</v>
      </c>
      <c r="C98">
        <v>0.46</v>
      </c>
      <c r="D98">
        <v>0.5</v>
      </c>
      <c r="E98">
        <v>-1.05</v>
      </c>
      <c r="F98">
        <v>-0.87</v>
      </c>
      <c r="G98">
        <v>-0.45</v>
      </c>
      <c r="H98">
        <v>-0.48</v>
      </c>
      <c r="I98">
        <v>0.5</v>
      </c>
      <c r="J98">
        <v>0.04</v>
      </c>
      <c r="K98">
        <f t="shared" si="68"/>
        <v>0.57500000000000007</v>
      </c>
      <c r="L98">
        <f t="shared" si="69"/>
        <v>0.46500000000000002</v>
      </c>
      <c r="M98">
        <f t="shared" si="70"/>
        <v>0.23500000000000001</v>
      </c>
      <c r="N98">
        <f t="shared" si="71"/>
        <v>0.26</v>
      </c>
      <c r="O98">
        <f t="shared" si="72"/>
        <v>-4.2000000000000003E-2</v>
      </c>
      <c r="P98">
        <f t="shared" si="73"/>
        <v>-3.4799999999999998E-2</v>
      </c>
      <c r="Q98">
        <f t="shared" si="74"/>
        <v>-1.8000000000000002E-2</v>
      </c>
      <c r="R98">
        <f t="shared" si="75"/>
        <v>-1.9199999999999998E-2</v>
      </c>
      <c r="S98">
        <v>1</v>
      </c>
      <c r="T98">
        <v>-1</v>
      </c>
      <c r="U98">
        <f t="shared" si="76"/>
        <v>0.72500000000000009</v>
      </c>
      <c r="V98">
        <f t="shared" si="77"/>
        <v>-5.3999999999999992E-2</v>
      </c>
      <c r="W98">
        <f t="shared" si="78"/>
        <v>0.41687500000000011</v>
      </c>
      <c r="X98">
        <f t="shared" si="79"/>
        <v>-6.1499999999999999E-2</v>
      </c>
      <c r="Y98">
        <f t="shared" si="80"/>
        <v>2.2679999999999996E-3</v>
      </c>
      <c r="Z98">
        <v>1</v>
      </c>
      <c r="AA98">
        <f t="shared" si="54"/>
        <v>0.3576430000000001</v>
      </c>
    </row>
    <row r="99" spans="1:28" x14ac:dyDescent="0.2">
      <c r="A99">
        <v>1.1000000000000001</v>
      </c>
      <c r="B99">
        <v>0.9</v>
      </c>
      <c r="C99">
        <v>0.46</v>
      </c>
      <c r="D99">
        <v>0.5</v>
      </c>
      <c r="E99">
        <v>-1.05</v>
      </c>
      <c r="F99">
        <v>-0.87</v>
      </c>
      <c r="G99">
        <v>-0.45</v>
      </c>
      <c r="H99">
        <v>-0.48</v>
      </c>
      <c r="I99">
        <v>0.5</v>
      </c>
      <c r="J99">
        <v>0.04</v>
      </c>
      <c r="K99">
        <f t="shared" si="68"/>
        <v>0.57500000000000007</v>
      </c>
      <c r="L99">
        <f t="shared" si="69"/>
        <v>0.46500000000000002</v>
      </c>
      <c r="M99">
        <f t="shared" si="70"/>
        <v>0.23500000000000001</v>
      </c>
      <c r="N99">
        <f t="shared" si="71"/>
        <v>0.26</v>
      </c>
      <c r="O99">
        <f t="shared" si="72"/>
        <v>-4.2000000000000003E-2</v>
      </c>
      <c r="P99">
        <f t="shared" si="73"/>
        <v>-3.4799999999999998E-2</v>
      </c>
      <c r="Q99">
        <f t="shared" si="74"/>
        <v>-1.8000000000000002E-2</v>
      </c>
      <c r="R99">
        <f t="shared" si="75"/>
        <v>-1.9199999999999998E-2</v>
      </c>
      <c r="S99">
        <v>1</v>
      </c>
      <c r="T99">
        <v>-1</v>
      </c>
      <c r="U99">
        <f t="shared" si="76"/>
        <v>0.72500000000000009</v>
      </c>
      <c r="V99">
        <f t="shared" si="77"/>
        <v>-5.3999999999999992E-2</v>
      </c>
      <c r="W99">
        <f t="shared" si="78"/>
        <v>0.41687500000000011</v>
      </c>
      <c r="X99">
        <f t="shared" si="79"/>
        <v>-6.1499999999999999E-2</v>
      </c>
      <c r="Y99">
        <f t="shared" si="80"/>
        <v>2.2679999999999996E-3</v>
      </c>
      <c r="Z99">
        <v>1.1000000000000001</v>
      </c>
      <c r="AA99">
        <f t="shared" si="54"/>
        <v>0.35196928000000011</v>
      </c>
    </row>
    <row r="100" spans="1:28" x14ac:dyDescent="0.2">
      <c r="A100">
        <v>1.1000000000000001</v>
      </c>
      <c r="B100">
        <v>0.9</v>
      </c>
      <c r="C100">
        <v>0.46</v>
      </c>
      <c r="D100">
        <v>0.5</v>
      </c>
      <c r="E100">
        <v>-1.05</v>
      </c>
      <c r="F100">
        <v>-0.87</v>
      </c>
      <c r="G100">
        <v>-0.45</v>
      </c>
      <c r="H100">
        <v>-0.48</v>
      </c>
      <c r="I100">
        <v>0.5</v>
      </c>
      <c r="J100">
        <v>0.04</v>
      </c>
      <c r="K100">
        <f t="shared" si="68"/>
        <v>0.57500000000000007</v>
      </c>
      <c r="L100">
        <f t="shared" si="69"/>
        <v>0.46500000000000002</v>
      </c>
      <c r="M100">
        <f t="shared" si="70"/>
        <v>0.23500000000000001</v>
      </c>
      <c r="N100">
        <f t="shared" si="71"/>
        <v>0.26</v>
      </c>
      <c r="O100">
        <f t="shared" si="72"/>
        <v>-4.2000000000000003E-2</v>
      </c>
      <c r="P100">
        <f t="shared" si="73"/>
        <v>-3.4799999999999998E-2</v>
      </c>
      <c r="Q100">
        <f t="shared" si="74"/>
        <v>-1.8000000000000002E-2</v>
      </c>
      <c r="R100">
        <f t="shared" si="75"/>
        <v>-1.9199999999999998E-2</v>
      </c>
      <c r="S100">
        <v>1</v>
      </c>
      <c r="T100">
        <v>-1</v>
      </c>
      <c r="U100">
        <f t="shared" si="76"/>
        <v>0.72500000000000009</v>
      </c>
      <c r="V100">
        <f t="shared" si="77"/>
        <v>-5.3999999999999992E-2</v>
      </c>
      <c r="W100">
        <f t="shared" si="78"/>
        <v>0.41687500000000011</v>
      </c>
      <c r="X100">
        <f t="shared" si="79"/>
        <v>-6.1499999999999999E-2</v>
      </c>
      <c r="Y100">
        <f t="shared" si="80"/>
        <v>2.2679999999999996E-3</v>
      </c>
      <c r="Z100">
        <v>1.2</v>
      </c>
      <c r="AA100">
        <f t="shared" si="54"/>
        <v>0.34634092000000011</v>
      </c>
      <c r="AB100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E7C5-8448-7244-8E94-BB8DF24233EE}">
  <dimension ref="A1:AC84"/>
  <sheetViews>
    <sheetView topLeftCell="X1" zoomScaleNormal="100" workbookViewId="0">
      <selection activeCell="AH28" sqref="AH28"/>
    </sheetView>
  </sheetViews>
  <sheetFormatPr baseColWidth="10" defaultRowHeight="16" x14ac:dyDescent="0.2"/>
  <sheetData>
    <row r="1" spans="1:28" x14ac:dyDescent="0.2">
      <c r="A1" t="s">
        <v>4</v>
      </c>
    </row>
    <row r="2" spans="1:28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26</v>
      </c>
      <c r="L2" t="s">
        <v>27</v>
      </c>
      <c r="M2" t="s">
        <v>28</v>
      </c>
      <c r="N2" t="s">
        <v>32</v>
      </c>
      <c r="O2" t="s">
        <v>29</v>
      </c>
      <c r="P2" t="s">
        <v>30</v>
      </c>
      <c r="Q2" t="s">
        <v>31</v>
      </c>
      <c r="R2" t="s">
        <v>33</v>
      </c>
      <c r="S2" t="s">
        <v>63</v>
      </c>
      <c r="T2" t="s">
        <v>64</v>
      </c>
      <c r="U2" t="s">
        <v>65</v>
      </c>
      <c r="V2" t="s">
        <v>66</v>
      </c>
      <c r="W2" t="s">
        <v>60</v>
      </c>
      <c r="X2" t="s">
        <v>61</v>
      </c>
      <c r="Y2" t="s">
        <v>62</v>
      </c>
      <c r="Z2" t="s">
        <v>1</v>
      </c>
      <c r="AA2" t="s">
        <v>68</v>
      </c>
      <c r="AB2" t="s">
        <v>67</v>
      </c>
    </row>
    <row r="3" spans="1:28" x14ac:dyDescent="0.2">
      <c r="A3">
        <v>0.1</v>
      </c>
      <c r="B3">
        <v>7.0000000000000007E-2</v>
      </c>
      <c r="C3">
        <v>0.03</v>
      </c>
      <c r="D3">
        <v>0.04</v>
      </c>
      <c r="E3">
        <v>-1.2</v>
      </c>
      <c r="F3">
        <v>-1.1000000000000001</v>
      </c>
      <c r="G3">
        <v>-0.6</v>
      </c>
      <c r="H3">
        <v>-0.7</v>
      </c>
      <c r="I3">
        <v>-0.5</v>
      </c>
      <c r="J3">
        <v>-7.0000000000000007E-2</v>
      </c>
      <c r="K3">
        <f>A3+E3*I3</f>
        <v>0.7</v>
      </c>
      <c r="L3">
        <f>B3+F3*I3</f>
        <v>0.62000000000000011</v>
      </c>
      <c r="M3">
        <f>C3+G3*I3</f>
        <v>0.32999999999999996</v>
      </c>
      <c r="N3">
        <f>D3+H3*I3</f>
        <v>0.38999999999999996</v>
      </c>
      <c r="O3">
        <f>E3*J3</f>
        <v>8.4000000000000005E-2</v>
      </c>
      <c r="P3">
        <f>F3*J3</f>
        <v>7.7000000000000013E-2</v>
      </c>
      <c r="Q3">
        <f>G3*J3</f>
        <v>4.2000000000000003E-2</v>
      </c>
      <c r="R3">
        <f>H3*J3</f>
        <v>4.9000000000000002E-2</v>
      </c>
      <c r="S3">
        <v>1</v>
      </c>
      <c r="T3">
        <v>1</v>
      </c>
      <c r="U3">
        <f>IF(T3&gt;0, L3*S3+M3*ABS(T3),L3*S3+N3*ABS(T3))</f>
        <v>0.95000000000000007</v>
      </c>
      <c r="V3">
        <f>IF(T3&gt;0, P3*S3+Q3*ABS(T3),P3*S3+R3*ABS(T3))</f>
        <v>0.11900000000000002</v>
      </c>
      <c r="W3">
        <f>K3*U3</f>
        <v>0.66500000000000004</v>
      </c>
      <c r="X3">
        <f>K3*V3+U3*O3</f>
        <v>0.16310000000000002</v>
      </c>
      <c r="Y3">
        <f>O3*V3</f>
        <v>9.9960000000000031E-3</v>
      </c>
      <c r="Z3">
        <v>1989</v>
      </c>
      <c r="AA3">
        <v>0.09</v>
      </c>
      <c r="AB3">
        <f>W3+X3*AA3+Y3*AA3^2</f>
        <v>0.67975996760000001</v>
      </c>
    </row>
    <row r="4" spans="1:28" x14ac:dyDescent="0.2">
      <c r="A4">
        <v>0.1</v>
      </c>
      <c r="B4">
        <v>7.0000000000000007E-2</v>
      </c>
      <c r="C4">
        <v>0.03</v>
      </c>
      <c r="D4">
        <v>0.04</v>
      </c>
      <c r="E4">
        <v>-1.2</v>
      </c>
      <c r="F4">
        <v>-1.1000000000000001</v>
      </c>
      <c r="G4">
        <v>-0.6</v>
      </c>
      <c r="H4">
        <v>-0.7</v>
      </c>
      <c r="I4">
        <v>-0.5</v>
      </c>
      <c r="J4">
        <v>-7.0000000000000007E-2</v>
      </c>
      <c r="K4">
        <f t="shared" ref="K4:K21" si="0">A4+E4*I4</f>
        <v>0.7</v>
      </c>
      <c r="L4">
        <f t="shared" ref="L4:L21" si="1">B4+F4*I4</f>
        <v>0.62000000000000011</v>
      </c>
      <c r="M4">
        <f t="shared" ref="M4:M21" si="2">C4+G4*I4</f>
        <v>0.32999999999999996</v>
      </c>
      <c r="N4">
        <f t="shared" ref="N4:N21" si="3">D4+H4*I4</f>
        <v>0.38999999999999996</v>
      </c>
      <c r="O4">
        <f t="shared" ref="O4:O21" si="4">E4*J4</f>
        <v>8.4000000000000005E-2</v>
      </c>
      <c r="P4">
        <f t="shared" ref="P4:P21" si="5">F4*J4</f>
        <v>7.7000000000000013E-2</v>
      </c>
      <c r="Q4">
        <f t="shared" ref="Q4:Q21" si="6">G4*J4</f>
        <v>4.2000000000000003E-2</v>
      </c>
      <c r="R4">
        <f t="shared" ref="R4:R21" si="7">H4*J4</f>
        <v>4.9000000000000002E-2</v>
      </c>
      <c r="S4">
        <v>1</v>
      </c>
      <c r="T4">
        <v>1</v>
      </c>
      <c r="U4">
        <f t="shared" ref="U4:U21" si="8">IF(T4&gt;0, L4*S4+M4*ABS(T4),L4*S4+N4*ABS(T4))</f>
        <v>0.95000000000000007</v>
      </c>
      <c r="V4">
        <f t="shared" ref="V4:V21" si="9">IF(T4&gt;0, P4*S4+Q4*ABS(T4),P4*S4+R4*ABS(T4))</f>
        <v>0.11900000000000002</v>
      </c>
      <c r="W4">
        <f t="shared" ref="W4:W21" si="10">K4*U4</f>
        <v>0.66500000000000004</v>
      </c>
      <c r="X4">
        <f t="shared" ref="X4:X21" si="11">K4*V4+U4*O4</f>
        <v>0.16310000000000002</v>
      </c>
      <c r="Y4">
        <f t="shared" ref="Y4:Y21" si="12">O4*V4</f>
        <v>9.9960000000000031E-3</v>
      </c>
      <c r="Z4">
        <v>1991</v>
      </c>
      <c r="AA4">
        <v>0.09</v>
      </c>
      <c r="AB4">
        <f t="shared" ref="AB4:AB21" si="13">W4+X4*AA4+Y4*AA4^2</f>
        <v>0.67975996760000001</v>
      </c>
    </row>
    <row r="5" spans="1:28" x14ac:dyDescent="0.2">
      <c r="A5">
        <v>0.1</v>
      </c>
      <c r="B5">
        <v>7.0000000000000007E-2</v>
      </c>
      <c r="C5">
        <v>0.03</v>
      </c>
      <c r="D5">
        <v>0.04</v>
      </c>
      <c r="E5">
        <v>-1.2</v>
      </c>
      <c r="F5">
        <v>-1.1000000000000001</v>
      </c>
      <c r="G5">
        <v>-0.6</v>
      </c>
      <c r="H5">
        <v>-0.7</v>
      </c>
      <c r="I5">
        <v>-0.5</v>
      </c>
      <c r="J5">
        <v>-7.0000000000000007E-2</v>
      </c>
      <c r="K5">
        <f t="shared" si="0"/>
        <v>0.7</v>
      </c>
      <c r="L5">
        <f t="shared" si="1"/>
        <v>0.62000000000000011</v>
      </c>
      <c r="M5">
        <f t="shared" si="2"/>
        <v>0.32999999999999996</v>
      </c>
      <c r="N5">
        <f t="shared" si="3"/>
        <v>0.38999999999999996</v>
      </c>
      <c r="O5">
        <f t="shared" si="4"/>
        <v>8.4000000000000005E-2</v>
      </c>
      <c r="P5">
        <f t="shared" si="5"/>
        <v>7.7000000000000013E-2</v>
      </c>
      <c r="Q5">
        <f t="shared" si="6"/>
        <v>4.2000000000000003E-2</v>
      </c>
      <c r="R5">
        <f t="shared" si="7"/>
        <v>4.9000000000000002E-2</v>
      </c>
      <c r="S5">
        <v>1</v>
      </c>
      <c r="T5">
        <v>1</v>
      </c>
      <c r="U5">
        <f t="shared" si="8"/>
        <v>0.95000000000000007</v>
      </c>
      <c r="V5">
        <f t="shared" si="9"/>
        <v>0.11900000000000002</v>
      </c>
      <c r="W5">
        <f t="shared" si="10"/>
        <v>0.66500000000000004</v>
      </c>
      <c r="X5">
        <f t="shared" si="11"/>
        <v>0.16310000000000002</v>
      </c>
      <c r="Y5">
        <f t="shared" si="12"/>
        <v>9.9960000000000031E-3</v>
      </c>
      <c r="Z5">
        <v>1993</v>
      </c>
      <c r="AA5">
        <v>-1</v>
      </c>
      <c r="AB5">
        <f t="shared" si="13"/>
        <v>0.51189600000000002</v>
      </c>
    </row>
    <row r="6" spans="1:28" x14ac:dyDescent="0.2">
      <c r="A6">
        <v>0.1</v>
      </c>
      <c r="B6">
        <v>7.0000000000000007E-2</v>
      </c>
      <c r="C6">
        <v>0.03</v>
      </c>
      <c r="D6">
        <v>0.04</v>
      </c>
      <c r="E6">
        <v>-1.2</v>
      </c>
      <c r="F6">
        <v>-1.1000000000000001</v>
      </c>
      <c r="G6">
        <v>-0.6</v>
      </c>
      <c r="H6">
        <v>-0.7</v>
      </c>
      <c r="I6">
        <v>-0.5</v>
      </c>
      <c r="J6">
        <v>-7.0000000000000007E-2</v>
      </c>
      <c r="K6">
        <f t="shared" si="0"/>
        <v>0.7</v>
      </c>
      <c r="L6">
        <f t="shared" si="1"/>
        <v>0.62000000000000011</v>
      </c>
      <c r="M6">
        <f t="shared" si="2"/>
        <v>0.32999999999999996</v>
      </c>
      <c r="N6">
        <f t="shared" si="3"/>
        <v>0.38999999999999996</v>
      </c>
      <c r="O6">
        <f t="shared" si="4"/>
        <v>8.4000000000000005E-2</v>
      </c>
      <c r="P6">
        <f t="shared" si="5"/>
        <v>7.7000000000000013E-2</v>
      </c>
      <c r="Q6">
        <f t="shared" si="6"/>
        <v>4.2000000000000003E-2</v>
      </c>
      <c r="R6">
        <f t="shared" si="7"/>
        <v>4.9000000000000002E-2</v>
      </c>
      <c r="S6">
        <v>1</v>
      </c>
      <c r="T6">
        <v>1</v>
      </c>
      <c r="U6">
        <f t="shared" si="8"/>
        <v>0.95000000000000007</v>
      </c>
      <c r="V6">
        <f t="shared" si="9"/>
        <v>0.11900000000000002</v>
      </c>
      <c r="W6">
        <f t="shared" si="10"/>
        <v>0.66500000000000004</v>
      </c>
      <c r="X6">
        <f t="shared" si="11"/>
        <v>0.16310000000000002</v>
      </c>
      <c r="Y6">
        <f t="shared" si="12"/>
        <v>9.9960000000000031E-3</v>
      </c>
      <c r="Z6">
        <v>1995</v>
      </c>
      <c r="AA6">
        <v>-0.09</v>
      </c>
      <c r="AB6">
        <f t="shared" si="13"/>
        <v>0.65040196760000002</v>
      </c>
    </row>
    <row r="7" spans="1:28" x14ac:dyDescent="0.2">
      <c r="A7">
        <v>0.1</v>
      </c>
      <c r="B7">
        <v>7.0000000000000007E-2</v>
      </c>
      <c r="C7">
        <v>0.03</v>
      </c>
      <c r="D7">
        <v>0.04</v>
      </c>
      <c r="E7">
        <v>-1.2</v>
      </c>
      <c r="F7">
        <v>-1.1000000000000001</v>
      </c>
      <c r="G7">
        <v>-0.6</v>
      </c>
      <c r="H7">
        <v>-0.7</v>
      </c>
      <c r="I7">
        <v>-0.5</v>
      </c>
      <c r="J7">
        <v>-7.0000000000000007E-2</v>
      </c>
      <c r="K7">
        <f t="shared" si="0"/>
        <v>0.7</v>
      </c>
      <c r="L7">
        <f t="shared" si="1"/>
        <v>0.62000000000000011</v>
      </c>
      <c r="M7">
        <f t="shared" si="2"/>
        <v>0.32999999999999996</v>
      </c>
      <c r="N7">
        <f t="shared" si="3"/>
        <v>0.38999999999999996</v>
      </c>
      <c r="O7">
        <f t="shared" si="4"/>
        <v>8.4000000000000005E-2</v>
      </c>
      <c r="P7">
        <f t="shared" si="5"/>
        <v>7.7000000000000013E-2</v>
      </c>
      <c r="Q7">
        <f t="shared" si="6"/>
        <v>4.2000000000000003E-2</v>
      </c>
      <c r="R7">
        <f t="shared" si="7"/>
        <v>4.9000000000000002E-2</v>
      </c>
      <c r="S7">
        <v>1</v>
      </c>
      <c r="T7">
        <v>1</v>
      </c>
      <c r="U7">
        <f t="shared" si="8"/>
        <v>0.95000000000000007</v>
      </c>
      <c r="V7">
        <f t="shared" si="9"/>
        <v>0.11900000000000002</v>
      </c>
      <c r="W7">
        <f t="shared" si="10"/>
        <v>0.66500000000000004</v>
      </c>
      <c r="X7">
        <f t="shared" si="11"/>
        <v>0.16310000000000002</v>
      </c>
      <c r="Y7">
        <f t="shared" si="12"/>
        <v>9.9960000000000031E-3</v>
      </c>
      <c r="Z7">
        <v>1997</v>
      </c>
      <c r="AA7">
        <v>-0.09</v>
      </c>
      <c r="AB7">
        <f t="shared" si="13"/>
        <v>0.65040196760000002</v>
      </c>
    </row>
    <row r="8" spans="1:28" x14ac:dyDescent="0.2">
      <c r="A8">
        <v>0.1</v>
      </c>
      <c r="B8">
        <v>7.0000000000000007E-2</v>
      </c>
      <c r="C8">
        <v>0.03</v>
      </c>
      <c r="D8">
        <v>0.04</v>
      </c>
      <c r="E8">
        <v>-1.2</v>
      </c>
      <c r="F8">
        <v>-1.1000000000000001</v>
      </c>
      <c r="G8">
        <v>-0.6</v>
      </c>
      <c r="H8">
        <v>-0.7</v>
      </c>
      <c r="I8">
        <v>-0.5</v>
      </c>
      <c r="J8">
        <v>-7.0000000000000007E-2</v>
      </c>
      <c r="K8">
        <f t="shared" si="0"/>
        <v>0.7</v>
      </c>
      <c r="L8">
        <f t="shared" si="1"/>
        <v>0.62000000000000011</v>
      </c>
      <c r="M8">
        <f t="shared" si="2"/>
        <v>0.32999999999999996</v>
      </c>
      <c r="N8">
        <f t="shared" si="3"/>
        <v>0.38999999999999996</v>
      </c>
      <c r="O8">
        <f t="shared" si="4"/>
        <v>8.4000000000000005E-2</v>
      </c>
      <c r="P8">
        <f t="shared" si="5"/>
        <v>7.7000000000000013E-2</v>
      </c>
      <c r="Q8">
        <f t="shared" si="6"/>
        <v>4.2000000000000003E-2</v>
      </c>
      <c r="R8">
        <f t="shared" si="7"/>
        <v>4.9000000000000002E-2</v>
      </c>
      <c r="S8">
        <v>1</v>
      </c>
      <c r="T8">
        <v>1</v>
      </c>
      <c r="U8">
        <f t="shared" si="8"/>
        <v>0.95000000000000007</v>
      </c>
      <c r="V8">
        <f t="shared" si="9"/>
        <v>0.11900000000000002</v>
      </c>
      <c r="W8">
        <f t="shared" si="10"/>
        <v>0.66500000000000004</v>
      </c>
      <c r="X8">
        <f t="shared" si="11"/>
        <v>0.16310000000000002</v>
      </c>
      <c r="Y8">
        <f t="shared" si="12"/>
        <v>9.9960000000000031E-3</v>
      </c>
      <c r="Z8">
        <v>1999</v>
      </c>
      <c r="AA8">
        <v>-0.09</v>
      </c>
      <c r="AB8">
        <f t="shared" si="13"/>
        <v>0.65040196760000002</v>
      </c>
    </row>
    <row r="9" spans="1:28" x14ac:dyDescent="0.2">
      <c r="A9">
        <v>0.1</v>
      </c>
      <c r="B9">
        <v>7.0000000000000007E-2</v>
      </c>
      <c r="C9">
        <v>0.03</v>
      </c>
      <c r="D9">
        <v>0.04</v>
      </c>
      <c r="E9">
        <v>-1.2</v>
      </c>
      <c r="F9">
        <v>-1.1000000000000001</v>
      </c>
      <c r="G9">
        <v>-0.6</v>
      </c>
      <c r="H9">
        <v>-0.7</v>
      </c>
      <c r="I9">
        <v>-0.5</v>
      </c>
      <c r="J9">
        <v>-7.0000000000000007E-2</v>
      </c>
      <c r="K9">
        <f t="shared" si="0"/>
        <v>0.7</v>
      </c>
      <c r="L9">
        <f t="shared" si="1"/>
        <v>0.62000000000000011</v>
      </c>
      <c r="M9">
        <f t="shared" si="2"/>
        <v>0.32999999999999996</v>
      </c>
      <c r="N9">
        <f t="shared" si="3"/>
        <v>0.38999999999999996</v>
      </c>
      <c r="O9">
        <f t="shared" si="4"/>
        <v>8.4000000000000005E-2</v>
      </c>
      <c r="P9">
        <f t="shared" si="5"/>
        <v>7.7000000000000013E-2</v>
      </c>
      <c r="Q9">
        <f t="shared" si="6"/>
        <v>4.2000000000000003E-2</v>
      </c>
      <c r="R9">
        <f t="shared" si="7"/>
        <v>4.9000000000000002E-2</v>
      </c>
      <c r="S9">
        <v>1</v>
      </c>
      <c r="T9">
        <v>1</v>
      </c>
      <c r="U9">
        <f t="shared" si="8"/>
        <v>0.95000000000000007</v>
      </c>
      <c r="V9">
        <f t="shared" si="9"/>
        <v>0.11900000000000002</v>
      </c>
      <c r="W9">
        <f t="shared" si="10"/>
        <v>0.66500000000000004</v>
      </c>
      <c r="X9">
        <f t="shared" si="11"/>
        <v>0.16310000000000002</v>
      </c>
      <c r="Y9">
        <f t="shared" si="12"/>
        <v>9.9960000000000031E-3</v>
      </c>
      <c r="Z9">
        <v>2001</v>
      </c>
      <c r="AA9">
        <v>0.82</v>
      </c>
      <c r="AB9">
        <f t="shared" si="13"/>
        <v>0.80546331040000008</v>
      </c>
    </row>
    <row r="10" spans="1:28" x14ac:dyDescent="0.2">
      <c r="A10">
        <v>0.1</v>
      </c>
      <c r="B10">
        <v>7.0000000000000007E-2</v>
      </c>
      <c r="C10">
        <v>0.03</v>
      </c>
      <c r="D10">
        <v>0.04</v>
      </c>
      <c r="E10">
        <v>-1.2</v>
      </c>
      <c r="F10">
        <v>-1.1000000000000001</v>
      </c>
      <c r="G10">
        <v>-0.6</v>
      </c>
      <c r="H10">
        <v>-0.7</v>
      </c>
      <c r="I10">
        <v>-0.5</v>
      </c>
      <c r="J10">
        <v>-7.0000000000000007E-2</v>
      </c>
      <c r="K10">
        <f t="shared" si="0"/>
        <v>0.7</v>
      </c>
      <c r="L10">
        <f t="shared" si="1"/>
        <v>0.62000000000000011</v>
      </c>
      <c r="M10">
        <f t="shared" si="2"/>
        <v>0.32999999999999996</v>
      </c>
      <c r="N10">
        <f t="shared" si="3"/>
        <v>0.38999999999999996</v>
      </c>
      <c r="O10">
        <f t="shared" si="4"/>
        <v>8.4000000000000005E-2</v>
      </c>
      <c r="P10">
        <f t="shared" si="5"/>
        <v>7.7000000000000013E-2</v>
      </c>
      <c r="Q10">
        <f t="shared" si="6"/>
        <v>4.2000000000000003E-2</v>
      </c>
      <c r="R10">
        <f t="shared" si="7"/>
        <v>4.9000000000000002E-2</v>
      </c>
      <c r="S10">
        <v>1</v>
      </c>
      <c r="T10">
        <v>1</v>
      </c>
      <c r="U10">
        <f t="shared" si="8"/>
        <v>0.95000000000000007</v>
      </c>
      <c r="V10">
        <f t="shared" si="9"/>
        <v>0.11900000000000002</v>
      </c>
      <c r="W10">
        <f t="shared" si="10"/>
        <v>0.66500000000000004</v>
      </c>
      <c r="X10">
        <f t="shared" si="11"/>
        <v>0.16310000000000002</v>
      </c>
      <c r="Y10">
        <f t="shared" si="12"/>
        <v>9.9960000000000031E-3</v>
      </c>
      <c r="Z10">
        <v>2003</v>
      </c>
      <c r="AA10">
        <v>1</v>
      </c>
      <c r="AB10">
        <f t="shared" si="13"/>
        <v>0.83809600000000006</v>
      </c>
    </row>
    <row r="11" spans="1:28" x14ac:dyDescent="0.2">
      <c r="A11">
        <v>0.1</v>
      </c>
      <c r="B11">
        <v>7.0000000000000007E-2</v>
      </c>
      <c r="C11">
        <v>0.03</v>
      </c>
      <c r="D11">
        <v>0.04</v>
      </c>
      <c r="E11">
        <v>-1.2</v>
      </c>
      <c r="F11">
        <v>-1.1000000000000001</v>
      </c>
      <c r="G11">
        <v>-0.6</v>
      </c>
      <c r="H11">
        <v>-0.7</v>
      </c>
      <c r="I11">
        <v>-0.5</v>
      </c>
      <c r="J11">
        <v>-7.0000000000000007E-2</v>
      </c>
      <c r="K11">
        <f t="shared" si="0"/>
        <v>0.7</v>
      </c>
      <c r="L11">
        <f t="shared" si="1"/>
        <v>0.62000000000000011</v>
      </c>
      <c r="M11">
        <f t="shared" si="2"/>
        <v>0.32999999999999996</v>
      </c>
      <c r="N11">
        <f t="shared" si="3"/>
        <v>0.38999999999999996</v>
      </c>
      <c r="O11">
        <f t="shared" si="4"/>
        <v>8.4000000000000005E-2</v>
      </c>
      <c r="P11">
        <f t="shared" si="5"/>
        <v>7.7000000000000013E-2</v>
      </c>
      <c r="Q11">
        <f t="shared" si="6"/>
        <v>4.2000000000000003E-2</v>
      </c>
      <c r="R11">
        <f t="shared" si="7"/>
        <v>4.9000000000000002E-2</v>
      </c>
      <c r="S11">
        <v>1</v>
      </c>
      <c r="T11">
        <v>1</v>
      </c>
      <c r="U11">
        <f t="shared" si="8"/>
        <v>0.95000000000000007</v>
      </c>
      <c r="V11">
        <f t="shared" si="9"/>
        <v>0.11900000000000002</v>
      </c>
      <c r="W11">
        <f t="shared" si="10"/>
        <v>0.66500000000000004</v>
      </c>
      <c r="X11">
        <f t="shared" si="11"/>
        <v>0.16310000000000002</v>
      </c>
      <c r="Y11">
        <f t="shared" si="12"/>
        <v>9.9960000000000031E-3</v>
      </c>
      <c r="Z11">
        <v>2005</v>
      </c>
      <c r="AA11">
        <v>1</v>
      </c>
      <c r="AB11">
        <f t="shared" si="13"/>
        <v>0.83809600000000006</v>
      </c>
    </row>
    <row r="12" spans="1:28" x14ac:dyDescent="0.2">
      <c r="A12">
        <v>0.1</v>
      </c>
      <c r="B12">
        <v>7.0000000000000007E-2</v>
      </c>
      <c r="C12">
        <v>0.03</v>
      </c>
      <c r="D12">
        <v>0.04</v>
      </c>
      <c r="E12">
        <v>-1.2</v>
      </c>
      <c r="F12">
        <v>-1.1000000000000001</v>
      </c>
      <c r="G12">
        <v>-0.6</v>
      </c>
      <c r="H12">
        <v>-0.7</v>
      </c>
      <c r="I12">
        <v>-0.5</v>
      </c>
      <c r="J12">
        <v>-7.0000000000000007E-2</v>
      </c>
      <c r="K12">
        <f t="shared" si="0"/>
        <v>0.7</v>
      </c>
      <c r="L12">
        <f t="shared" si="1"/>
        <v>0.62000000000000011</v>
      </c>
      <c r="M12">
        <f t="shared" si="2"/>
        <v>0.32999999999999996</v>
      </c>
      <c r="N12">
        <f t="shared" si="3"/>
        <v>0.38999999999999996</v>
      </c>
      <c r="O12">
        <f t="shared" si="4"/>
        <v>8.4000000000000005E-2</v>
      </c>
      <c r="P12">
        <f t="shared" si="5"/>
        <v>7.7000000000000013E-2</v>
      </c>
      <c r="Q12">
        <f t="shared" si="6"/>
        <v>4.2000000000000003E-2</v>
      </c>
      <c r="R12">
        <f t="shared" si="7"/>
        <v>4.9000000000000002E-2</v>
      </c>
      <c r="S12">
        <v>1</v>
      </c>
      <c r="T12">
        <v>1</v>
      </c>
      <c r="U12">
        <f t="shared" si="8"/>
        <v>0.95000000000000007</v>
      </c>
      <c r="V12">
        <f t="shared" si="9"/>
        <v>0.11900000000000002</v>
      </c>
      <c r="W12">
        <f t="shared" si="10"/>
        <v>0.66500000000000004</v>
      </c>
      <c r="X12">
        <f t="shared" si="11"/>
        <v>0.16310000000000002</v>
      </c>
      <c r="Y12">
        <f t="shared" si="12"/>
        <v>9.9960000000000031E-3</v>
      </c>
      <c r="Z12">
        <v>2007</v>
      </c>
      <c r="AA12">
        <v>0.27</v>
      </c>
      <c r="AB12">
        <f t="shared" si="13"/>
        <v>0.70976570840000008</v>
      </c>
    </row>
    <row r="13" spans="1:28" x14ac:dyDescent="0.2">
      <c r="A13">
        <v>0.1</v>
      </c>
      <c r="B13">
        <v>7.0000000000000007E-2</v>
      </c>
      <c r="C13">
        <v>0.03</v>
      </c>
      <c r="D13">
        <v>0.04</v>
      </c>
      <c r="E13">
        <v>-1.2</v>
      </c>
      <c r="F13">
        <v>-1.1000000000000001</v>
      </c>
      <c r="G13">
        <v>-0.6</v>
      </c>
      <c r="H13">
        <v>-0.7</v>
      </c>
      <c r="I13">
        <v>-0.5</v>
      </c>
      <c r="J13">
        <v>-7.0000000000000007E-2</v>
      </c>
      <c r="K13">
        <f t="shared" si="0"/>
        <v>0.7</v>
      </c>
      <c r="L13">
        <f t="shared" si="1"/>
        <v>0.62000000000000011</v>
      </c>
      <c r="M13">
        <f t="shared" si="2"/>
        <v>0.32999999999999996</v>
      </c>
      <c r="N13">
        <f t="shared" si="3"/>
        <v>0.38999999999999996</v>
      </c>
      <c r="O13">
        <f t="shared" si="4"/>
        <v>8.4000000000000005E-2</v>
      </c>
      <c r="P13">
        <f t="shared" si="5"/>
        <v>7.7000000000000013E-2</v>
      </c>
      <c r="Q13">
        <f t="shared" si="6"/>
        <v>4.2000000000000003E-2</v>
      </c>
      <c r="R13">
        <f t="shared" si="7"/>
        <v>4.9000000000000002E-2</v>
      </c>
      <c r="S13">
        <v>1</v>
      </c>
      <c r="T13">
        <v>1</v>
      </c>
      <c r="U13">
        <f t="shared" si="8"/>
        <v>0.95000000000000007</v>
      </c>
      <c r="V13">
        <f t="shared" si="9"/>
        <v>0.11900000000000002</v>
      </c>
      <c r="W13">
        <f t="shared" si="10"/>
        <v>0.66500000000000004</v>
      </c>
      <c r="X13">
        <f t="shared" si="11"/>
        <v>0.16310000000000002</v>
      </c>
      <c r="Y13">
        <f t="shared" si="12"/>
        <v>9.9960000000000031E-3</v>
      </c>
      <c r="Z13">
        <v>2009</v>
      </c>
      <c r="AA13">
        <v>-1</v>
      </c>
      <c r="AB13">
        <f t="shared" si="13"/>
        <v>0.51189600000000002</v>
      </c>
    </row>
    <row r="14" spans="1:28" x14ac:dyDescent="0.2">
      <c r="A14">
        <v>0.1</v>
      </c>
      <c r="B14">
        <v>7.0000000000000007E-2</v>
      </c>
      <c r="C14">
        <v>0.03</v>
      </c>
      <c r="D14">
        <v>0.04</v>
      </c>
      <c r="E14">
        <v>-1.2</v>
      </c>
      <c r="F14">
        <v>-1.1000000000000001</v>
      </c>
      <c r="G14">
        <v>-0.6</v>
      </c>
      <c r="H14">
        <v>-0.7</v>
      </c>
      <c r="I14">
        <v>-0.5</v>
      </c>
      <c r="J14">
        <v>-7.0000000000000007E-2</v>
      </c>
      <c r="K14">
        <f t="shared" si="0"/>
        <v>0.7</v>
      </c>
      <c r="L14">
        <f t="shared" si="1"/>
        <v>0.62000000000000011</v>
      </c>
      <c r="M14">
        <f t="shared" si="2"/>
        <v>0.32999999999999996</v>
      </c>
      <c r="N14">
        <f t="shared" si="3"/>
        <v>0.38999999999999996</v>
      </c>
      <c r="O14">
        <f t="shared" si="4"/>
        <v>8.4000000000000005E-2</v>
      </c>
      <c r="P14">
        <f t="shared" si="5"/>
        <v>7.7000000000000013E-2</v>
      </c>
      <c r="Q14">
        <f t="shared" si="6"/>
        <v>4.2000000000000003E-2</v>
      </c>
      <c r="R14">
        <f t="shared" si="7"/>
        <v>4.9000000000000002E-2</v>
      </c>
      <c r="S14">
        <v>1</v>
      </c>
      <c r="T14">
        <v>1</v>
      </c>
      <c r="U14">
        <f t="shared" si="8"/>
        <v>0.95000000000000007</v>
      </c>
      <c r="V14">
        <f t="shared" si="9"/>
        <v>0.11900000000000002</v>
      </c>
      <c r="W14">
        <f t="shared" si="10"/>
        <v>0.66500000000000004</v>
      </c>
      <c r="X14">
        <f t="shared" si="11"/>
        <v>0.16310000000000002</v>
      </c>
      <c r="Y14">
        <f t="shared" si="12"/>
        <v>9.9960000000000031E-3</v>
      </c>
      <c r="Z14">
        <v>2011</v>
      </c>
      <c r="AA14">
        <v>-0.45</v>
      </c>
      <c r="AB14">
        <f t="shared" si="13"/>
        <v>0.59362919000000003</v>
      </c>
    </row>
    <row r="15" spans="1:28" x14ac:dyDescent="0.2">
      <c r="A15">
        <v>0.1</v>
      </c>
      <c r="B15">
        <v>7.0000000000000007E-2</v>
      </c>
      <c r="C15">
        <v>0.03</v>
      </c>
      <c r="D15">
        <v>0.04</v>
      </c>
      <c r="E15">
        <v>-1.2</v>
      </c>
      <c r="F15">
        <v>-1.1000000000000001</v>
      </c>
      <c r="G15">
        <v>-0.6</v>
      </c>
      <c r="H15">
        <v>-0.7</v>
      </c>
      <c r="I15">
        <v>-0.5</v>
      </c>
      <c r="J15">
        <v>-7.0000000000000007E-2</v>
      </c>
      <c r="K15">
        <f t="shared" si="0"/>
        <v>0.7</v>
      </c>
      <c r="L15">
        <f t="shared" si="1"/>
        <v>0.62000000000000011</v>
      </c>
      <c r="M15">
        <f t="shared" si="2"/>
        <v>0.32999999999999996</v>
      </c>
      <c r="N15">
        <f t="shared" si="3"/>
        <v>0.38999999999999996</v>
      </c>
      <c r="O15">
        <f t="shared" si="4"/>
        <v>8.4000000000000005E-2</v>
      </c>
      <c r="P15">
        <f t="shared" si="5"/>
        <v>7.7000000000000013E-2</v>
      </c>
      <c r="Q15">
        <f t="shared" si="6"/>
        <v>4.2000000000000003E-2</v>
      </c>
      <c r="R15">
        <f t="shared" si="7"/>
        <v>4.9000000000000002E-2</v>
      </c>
      <c r="S15">
        <v>1</v>
      </c>
      <c r="T15">
        <v>1</v>
      </c>
      <c r="U15">
        <f t="shared" si="8"/>
        <v>0.95000000000000007</v>
      </c>
      <c r="V15">
        <f t="shared" si="9"/>
        <v>0.11900000000000002</v>
      </c>
      <c r="W15">
        <f t="shared" si="10"/>
        <v>0.66500000000000004</v>
      </c>
      <c r="X15">
        <f t="shared" si="11"/>
        <v>0.16310000000000002</v>
      </c>
      <c r="Y15">
        <f t="shared" si="12"/>
        <v>9.9960000000000031E-3</v>
      </c>
      <c r="Z15">
        <v>2013</v>
      </c>
      <c r="AA15">
        <v>-0.45</v>
      </c>
      <c r="AB15">
        <f t="shared" si="13"/>
        <v>0.59362919000000003</v>
      </c>
    </row>
    <row r="16" spans="1:28" x14ac:dyDescent="0.2">
      <c r="A16">
        <v>0.1</v>
      </c>
      <c r="B16">
        <v>7.0000000000000007E-2</v>
      </c>
      <c r="C16">
        <v>0.03</v>
      </c>
      <c r="D16">
        <v>0.04</v>
      </c>
      <c r="E16">
        <v>-1.2</v>
      </c>
      <c r="F16">
        <v>-1.1000000000000001</v>
      </c>
      <c r="G16">
        <v>-0.6</v>
      </c>
      <c r="H16">
        <v>-0.7</v>
      </c>
      <c r="I16">
        <v>-0.5</v>
      </c>
      <c r="J16">
        <v>-7.0000000000000007E-2</v>
      </c>
      <c r="K16">
        <f t="shared" si="0"/>
        <v>0.7</v>
      </c>
      <c r="L16">
        <f t="shared" si="1"/>
        <v>0.62000000000000011</v>
      </c>
      <c r="M16">
        <f t="shared" si="2"/>
        <v>0.32999999999999996</v>
      </c>
      <c r="N16">
        <f t="shared" si="3"/>
        <v>0.38999999999999996</v>
      </c>
      <c r="O16">
        <f t="shared" si="4"/>
        <v>8.4000000000000005E-2</v>
      </c>
      <c r="P16">
        <f t="shared" si="5"/>
        <v>7.7000000000000013E-2</v>
      </c>
      <c r="Q16">
        <f t="shared" si="6"/>
        <v>4.2000000000000003E-2</v>
      </c>
      <c r="R16">
        <f t="shared" si="7"/>
        <v>4.9000000000000002E-2</v>
      </c>
      <c r="S16">
        <v>1</v>
      </c>
      <c r="T16">
        <v>1</v>
      </c>
      <c r="U16">
        <f t="shared" si="8"/>
        <v>0.95000000000000007</v>
      </c>
      <c r="V16">
        <f t="shared" si="9"/>
        <v>0.11900000000000002</v>
      </c>
      <c r="W16">
        <f t="shared" si="10"/>
        <v>0.66500000000000004</v>
      </c>
      <c r="X16">
        <f t="shared" si="11"/>
        <v>0.16310000000000002</v>
      </c>
      <c r="Y16">
        <f t="shared" si="12"/>
        <v>9.9960000000000031E-3</v>
      </c>
      <c r="Z16">
        <v>2015</v>
      </c>
      <c r="AA16">
        <v>-0.09</v>
      </c>
      <c r="AB16">
        <f t="shared" si="13"/>
        <v>0.65040196760000002</v>
      </c>
    </row>
    <row r="17" spans="1:29" x14ac:dyDescent="0.2">
      <c r="A17">
        <v>0.1</v>
      </c>
      <c r="B17">
        <v>7.0000000000000007E-2</v>
      </c>
      <c r="C17">
        <v>0.03</v>
      </c>
      <c r="D17">
        <v>0.04</v>
      </c>
      <c r="E17">
        <v>-1.2</v>
      </c>
      <c r="F17">
        <v>-1.1000000000000001</v>
      </c>
      <c r="G17">
        <v>-0.6</v>
      </c>
      <c r="H17">
        <v>-0.7</v>
      </c>
      <c r="I17">
        <v>-0.5</v>
      </c>
      <c r="J17">
        <v>-7.0000000000000007E-2</v>
      </c>
      <c r="K17">
        <f t="shared" si="0"/>
        <v>0.7</v>
      </c>
      <c r="L17">
        <f t="shared" si="1"/>
        <v>0.62000000000000011</v>
      </c>
      <c r="M17">
        <f t="shared" si="2"/>
        <v>0.32999999999999996</v>
      </c>
      <c r="N17">
        <f t="shared" si="3"/>
        <v>0.38999999999999996</v>
      </c>
      <c r="O17">
        <f t="shared" si="4"/>
        <v>8.4000000000000005E-2</v>
      </c>
      <c r="P17">
        <f t="shared" si="5"/>
        <v>7.7000000000000013E-2</v>
      </c>
      <c r="Q17">
        <f t="shared" si="6"/>
        <v>4.2000000000000003E-2</v>
      </c>
      <c r="R17">
        <f t="shared" si="7"/>
        <v>4.9000000000000002E-2</v>
      </c>
      <c r="S17">
        <v>1</v>
      </c>
      <c r="T17">
        <v>1</v>
      </c>
      <c r="U17">
        <f t="shared" si="8"/>
        <v>0.95000000000000007</v>
      </c>
      <c r="V17">
        <f t="shared" si="9"/>
        <v>0.11900000000000002</v>
      </c>
      <c r="W17">
        <f t="shared" si="10"/>
        <v>0.66500000000000004</v>
      </c>
      <c r="X17">
        <f t="shared" si="11"/>
        <v>0.16310000000000002</v>
      </c>
      <c r="Y17">
        <f t="shared" si="12"/>
        <v>9.9960000000000031E-3</v>
      </c>
      <c r="Z17">
        <v>2017</v>
      </c>
      <c r="AA17">
        <v>1.2</v>
      </c>
      <c r="AB17">
        <f t="shared" si="13"/>
        <v>0.87511424000000004</v>
      </c>
    </row>
    <row r="18" spans="1:29" x14ac:dyDescent="0.2">
      <c r="A18">
        <v>0.1</v>
      </c>
      <c r="B18">
        <v>7.0000000000000007E-2</v>
      </c>
      <c r="C18">
        <v>0.03</v>
      </c>
      <c r="D18">
        <v>0.04</v>
      </c>
      <c r="E18">
        <v>-1.2</v>
      </c>
      <c r="F18">
        <v>-1.1000000000000001</v>
      </c>
      <c r="G18">
        <v>-0.6</v>
      </c>
      <c r="H18">
        <v>-0.7</v>
      </c>
      <c r="I18">
        <v>-0.5</v>
      </c>
      <c r="J18">
        <v>-7.0000000000000007E-2</v>
      </c>
      <c r="K18">
        <f t="shared" si="0"/>
        <v>0.7</v>
      </c>
      <c r="L18">
        <f t="shared" si="1"/>
        <v>0.62000000000000011</v>
      </c>
      <c r="M18">
        <f t="shared" si="2"/>
        <v>0.32999999999999996</v>
      </c>
      <c r="N18">
        <f t="shared" si="3"/>
        <v>0.38999999999999996</v>
      </c>
      <c r="O18">
        <f t="shared" si="4"/>
        <v>8.4000000000000005E-2</v>
      </c>
      <c r="P18">
        <f t="shared" si="5"/>
        <v>7.7000000000000013E-2</v>
      </c>
      <c r="Q18">
        <f t="shared" si="6"/>
        <v>4.2000000000000003E-2</v>
      </c>
      <c r="R18">
        <f t="shared" si="7"/>
        <v>4.9000000000000002E-2</v>
      </c>
      <c r="S18">
        <v>1</v>
      </c>
      <c r="T18">
        <v>1</v>
      </c>
      <c r="U18">
        <f t="shared" si="8"/>
        <v>0.95000000000000007</v>
      </c>
      <c r="V18">
        <f t="shared" si="9"/>
        <v>0.11900000000000002</v>
      </c>
      <c r="W18">
        <f t="shared" si="10"/>
        <v>0.66500000000000004</v>
      </c>
      <c r="X18">
        <f t="shared" si="11"/>
        <v>0.16310000000000002</v>
      </c>
      <c r="Y18">
        <f t="shared" si="12"/>
        <v>9.9960000000000031E-3</v>
      </c>
      <c r="Z18">
        <v>2019</v>
      </c>
      <c r="AA18">
        <v>0.65</v>
      </c>
      <c r="AB18">
        <f t="shared" si="13"/>
        <v>0.77523830999999999</v>
      </c>
    </row>
    <row r="19" spans="1:29" x14ac:dyDescent="0.2">
      <c r="A19">
        <v>0.1</v>
      </c>
      <c r="B19">
        <v>7.0000000000000007E-2</v>
      </c>
      <c r="C19">
        <v>0.03</v>
      </c>
      <c r="D19">
        <v>0.04</v>
      </c>
      <c r="E19">
        <v>-1.2</v>
      </c>
      <c r="F19">
        <v>-1.1000000000000001</v>
      </c>
      <c r="G19">
        <v>-0.6</v>
      </c>
      <c r="H19">
        <v>-0.7</v>
      </c>
      <c r="I19">
        <v>-0.5</v>
      </c>
      <c r="J19">
        <v>-7.0000000000000007E-2</v>
      </c>
      <c r="K19">
        <f t="shared" si="0"/>
        <v>0.7</v>
      </c>
      <c r="L19">
        <f t="shared" si="1"/>
        <v>0.62000000000000011</v>
      </c>
      <c r="M19">
        <f t="shared" si="2"/>
        <v>0.32999999999999996</v>
      </c>
      <c r="N19">
        <f t="shared" si="3"/>
        <v>0.38999999999999996</v>
      </c>
      <c r="O19">
        <f t="shared" si="4"/>
        <v>8.4000000000000005E-2</v>
      </c>
      <c r="P19">
        <f t="shared" si="5"/>
        <v>7.7000000000000013E-2</v>
      </c>
      <c r="Q19">
        <f t="shared" si="6"/>
        <v>4.2000000000000003E-2</v>
      </c>
      <c r="R19">
        <f t="shared" si="7"/>
        <v>4.9000000000000002E-2</v>
      </c>
      <c r="S19">
        <v>1</v>
      </c>
      <c r="T19">
        <v>1</v>
      </c>
      <c r="U19">
        <f t="shared" si="8"/>
        <v>0.95000000000000007</v>
      </c>
      <c r="V19">
        <f t="shared" si="9"/>
        <v>0.11900000000000002</v>
      </c>
      <c r="W19">
        <f t="shared" si="10"/>
        <v>0.66500000000000004</v>
      </c>
      <c r="X19">
        <f t="shared" si="11"/>
        <v>0.16310000000000002</v>
      </c>
      <c r="Y19">
        <f t="shared" si="12"/>
        <v>9.9960000000000031E-3</v>
      </c>
      <c r="Z19">
        <v>2021</v>
      </c>
      <c r="AA19">
        <v>-0.64</v>
      </c>
      <c r="AB19">
        <f t="shared" si="13"/>
        <v>0.56471036159999999</v>
      </c>
    </row>
    <row r="20" spans="1:29" x14ac:dyDescent="0.2">
      <c r="A20">
        <v>0.1</v>
      </c>
      <c r="B20">
        <v>7.0000000000000007E-2</v>
      </c>
      <c r="C20">
        <v>0.03</v>
      </c>
      <c r="D20">
        <v>0.04</v>
      </c>
      <c r="E20">
        <v>-1.2</v>
      </c>
      <c r="F20">
        <v>-1.1000000000000001</v>
      </c>
      <c r="G20">
        <v>-0.6</v>
      </c>
      <c r="H20">
        <v>-0.7</v>
      </c>
      <c r="I20">
        <v>-0.5</v>
      </c>
      <c r="J20">
        <v>-7.0000000000000007E-2</v>
      </c>
      <c r="K20">
        <f t="shared" si="0"/>
        <v>0.7</v>
      </c>
      <c r="L20">
        <f t="shared" si="1"/>
        <v>0.62000000000000011</v>
      </c>
      <c r="M20">
        <f t="shared" si="2"/>
        <v>0.32999999999999996</v>
      </c>
      <c r="N20">
        <f t="shared" si="3"/>
        <v>0.38999999999999996</v>
      </c>
      <c r="O20">
        <f t="shared" si="4"/>
        <v>8.4000000000000005E-2</v>
      </c>
      <c r="P20">
        <f t="shared" si="5"/>
        <v>7.7000000000000013E-2</v>
      </c>
      <c r="Q20">
        <f t="shared" si="6"/>
        <v>4.2000000000000003E-2</v>
      </c>
      <c r="R20">
        <f t="shared" si="7"/>
        <v>4.9000000000000002E-2</v>
      </c>
      <c r="S20">
        <v>1</v>
      </c>
      <c r="T20">
        <v>1</v>
      </c>
      <c r="U20">
        <f t="shared" si="8"/>
        <v>0.95000000000000007</v>
      </c>
      <c r="V20">
        <f t="shared" si="9"/>
        <v>0.11900000000000002</v>
      </c>
      <c r="W20">
        <f t="shared" si="10"/>
        <v>0.66500000000000004</v>
      </c>
      <c r="X20">
        <f t="shared" si="11"/>
        <v>0.16310000000000002</v>
      </c>
      <c r="Y20">
        <f t="shared" si="12"/>
        <v>9.9960000000000031E-3</v>
      </c>
      <c r="Z20">
        <v>2023</v>
      </c>
      <c r="AA20">
        <v>-0.09</v>
      </c>
      <c r="AB20">
        <f t="shared" si="13"/>
        <v>0.65040196760000002</v>
      </c>
    </row>
    <row r="21" spans="1:29" x14ac:dyDescent="0.2">
      <c r="A21">
        <v>0.1</v>
      </c>
      <c r="B21">
        <v>7.0000000000000007E-2</v>
      </c>
      <c r="C21">
        <v>0.03</v>
      </c>
      <c r="D21">
        <v>0.04</v>
      </c>
      <c r="E21">
        <v>-1.2</v>
      </c>
      <c r="F21">
        <v>-1.1000000000000001</v>
      </c>
      <c r="G21">
        <v>-0.6</v>
      </c>
      <c r="H21">
        <v>-0.7</v>
      </c>
      <c r="I21">
        <v>-0.5</v>
      </c>
      <c r="J21">
        <v>-7.0000000000000007E-2</v>
      </c>
      <c r="K21">
        <f t="shared" si="0"/>
        <v>0.7</v>
      </c>
      <c r="L21">
        <f t="shared" si="1"/>
        <v>0.62000000000000011</v>
      </c>
      <c r="M21">
        <f t="shared" si="2"/>
        <v>0.32999999999999996</v>
      </c>
      <c r="N21">
        <f t="shared" si="3"/>
        <v>0.38999999999999996</v>
      </c>
      <c r="O21">
        <f t="shared" si="4"/>
        <v>8.4000000000000005E-2</v>
      </c>
      <c r="P21">
        <f t="shared" si="5"/>
        <v>7.7000000000000013E-2</v>
      </c>
      <c r="Q21">
        <f t="shared" si="6"/>
        <v>4.2000000000000003E-2</v>
      </c>
      <c r="R21">
        <f t="shared" si="7"/>
        <v>4.9000000000000002E-2</v>
      </c>
      <c r="S21">
        <v>1</v>
      </c>
      <c r="T21">
        <v>1</v>
      </c>
      <c r="U21">
        <f t="shared" si="8"/>
        <v>0.95000000000000007</v>
      </c>
      <c r="V21">
        <f t="shared" si="9"/>
        <v>0.11900000000000002</v>
      </c>
      <c r="W21">
        <f t="shared" si="10"/>
        <v>0.66500000000000004</v>
      </c>
      <c r="X21">
        <f t="shared" si="11"/>
        <v>0.16310000000000002</v>
      </c>
      <c r="Y21">
        <f t="shared" si="12"/>
        <v>9.9960000000000031E-3</v>
      </c>
      <c r="Z21">
        <v>2025</v>
      </c>
      <c r="AA21">
        <v>1.2</v>
      </c>
      <c r="AB21">
        <f t="shared" si="13"/>
        <v>0.87511424000000004</v>
      </c>
      <c r="AC21" t="s">
        <v>2</v>
      </c>
    </row>
    <row r="23" spans="1:29" x14ac:dyDescent="0.2">
      <c r="A23">
        <v>0.1</v>
      </c>
      <c r="B23">
        <v>7.0000000000000007E-2</v>
      </c>
      <c r="C23">
        <v>0.03</v>
      </c>
      <c r="D23">
        <v>0.04</v>
      </c>
      <c r="E23">
        <v>-1.2</v>
      </c>
      <c r="F23">
        <v>-1.1000000000000001</v>
      </c>
      <c r="G23">
        <v>-0.6</v>
      </c>
      <c r="H23">
        <v>-0.7</v>
      </c>
      <c r="I23">
        <v>-0.5</v>
      </c>
      <c r="J23">
        <v>-7.0000000000000007E-2</v>
      </c>
      <c r="K23">
        <f t="shared" ref="K23" si="14">A23+E23*I23</f>
        <v>0.7</v>
      </c>
      <c r="L23">
        <f t="shared" ref="L23" si="15">B23+F23*I23</f>
        <v>0.62000000000000011</v>
      </c>
      <c r="M23">
        <f t="shared" ref="M23" si="16">C23+G23*I23</f>
        <v>0.32999999999999996</v>
      </c>
      <c r="N23">
        <f t="shared" ref="N23" si="17">D23+H23*I23</f>
        <v>0.38999999999999996</v>
      </c>
      <c r="O23">
        <f t="shared" ref="O23" si="18">E23*J23</f>
        <v>8.4000000000000005E-2</v>
      </c>
      <c r="P23">
        <f t="shared" ref="P23" si="19">F23*J23</f>
        <v>7.7000000000000013E-2</v>
      </c>
      <c r="Q23">
        <f t="shared" ref="Q23" si="20">G23*J23</f>
        <v>4.2000000000000003E-2</v>
      </c>
      <c r="R23">
        <f t="shared" ref="R23" si="21">H23*J23</f>
        <v>4.9000000000000002E-2</v>
      </c>
      <c r="S23">
        <v>1</v>
      </c>
      <c r="T23">
        <v>-1</v>
      </c>
      <c r="U23">
        <f t="shared" ref="U23" si="22">IF(T23&gt;0, L23*S23+M23*ABS(T23),L23*S23+N23*ABS(T23))</f>
        <v>1.01</v>
      </c>
      <c r="V23">
        <f t="shared" ref="V23" si="23">IF(T23&gt;0, P23*S23+Q23*ABS(T23),P23*S23+R23*ABS(T23))</f>
        <v>0.126</v>
      </c>
      <c r="W23">
        <f t="shared" ref="W23" si="24">K23*U23</f>
        <v>0.70699999999999996</v>
      </c>
      <c r="X23">
        <f t="shared" ref="X23" si="25">K23*V23+U23*O23</f>
        <v>0.17304000000000003</v>
      </c>
      <c r="Y23">
        <f t="shared" ref="Y23" si="26">O23*V23</f>
        <v>1.0584000000000001E-2</v>
      </c>
      <c r="Z23">
        <v>1989</v>
      </c>
      <c r="AA23">
        <v>0.09</v>
      </c>
      <c r="AB23">
        <f t="shared" ref="AB23:AB41" si="27">W23+X23*AA23+Y23*AA23^2</f>
        <v>0.72265933039999997</v>
      </c>
    </row>
    <row r="24" spans="1:29" x14ac:dyDescent="0.2">
      <c r="A24">
        <v>0.1</v>
      </c>
      <c r="B24">
        <v>7.0000000000000007E-2</v>
      </c>
      <c r="C24">
        <v>0.03</v>
      </c>
      <c r="D24">
        <v>0.04</v>
      </c>
      <c r="E24">
        <v>-1.2</v>
      </c>
      <c r="F24">
        <v>-1.1000000000000001</v>
      </c>
      <c r="G24">
        <v>-0.6</v>
      </c>
      <c r="H24">
        <v>-0.7</v>
      </c>
      <c r="I24">
        <v>-0.5</v>
      </c>
      <c r="J24">
        <v>-7.0000000000000007E-2</v>
      </c>
      <c r="K24">
        <f t="shared" ref="K24:K41" si="28">A24+E24*I24</f>
        <v>0.7</v>
      </c>
      <c r="L24">
        <f t="shared" ref="L24:L41" si="29">B24+F24*I24</f>
        <v>0.62000000000000011</v>
      </c>
      <c r="M24">
        <f t="shared" ref="M24:M41" si="30">C24+G24*I24</f>
        <v>0.32999999999999996</v>
      </c>
      <c r="N24">
        <f t="shared" ref="N24:N41" si="31">D24+H24*I24</f>
        <v>0.38999999999999996</v>
      </c>
      <c r="O24">
        <f t="shared" ref="O24:O41" si="32">E24*J24</f>
        <v>8.4000000000000005E-2</v>
      </c>
      <c r="P24">
        <f t="shared" ref="P24:P41" si="33">F24*J24</f>
        <v>7.7000000000000013E-2</v>
      </c>
      <c r="Q24">
        <f t="shared" ref="Q24:Q41" si="34">G24*J24</f>
        <v>4.2000000000000003E-2</v>
      </c>
      <c r="R24">
        <f t="shared" ref="R24:R41" si="35">H24*J24</f>
        <v>4.9000000000000002E-2</v>
      </c>
      <c r="S24">
        <v>1</v>
      </c>
      <c r="T24">
        <v>-1</v>
      </c>
      <c r="U24">
        <f t="shared" ref="U24:U41" si="36">IF(T24&gt;0, L24*S24+M24*ABS(T24),L24*S24+N24*ABS(T24))</f>
        <v>1.01</v>
      </c>
      <c r="V24">
        <f t="shared" ref="V24:V41" si="37">IF(T24&gt;0, P24*S24+Q24*ABS(T24),P24*S24+R24*ABS(T24))</f>
        <v>0.126</v>
      </c>
      <c r="W24">
        <f t="shared" ref="W24:W41" si="38">K24*U24</f>
        <v>0.70699999999999996</v>
      </c>
      <c r="X24">
        <f t="shared" ref="X24:X41" si="39">K24*V24+U24*O24</f>
        <v>0.17304000000000003</v>
      </c>
      <c r="Y24">
        <f t="shared" ref="Y24:Y41" si="40">O24*V24</f>
        <v>1.0584000000000001E-2</v>
      </c>
      <c r="Z24">
        <v>1991</v>
      </c>
      <c r="AA24">
        <v>0.09</v>
      </c>
      <c r="AB24">
        <f t="shared" si="27"/>
        <v>0.72265933039999997</v>
      </c>
    </row>
    <row r="25" spans="1:29" x14ac:dyDescent="0.2">
      <c r="A25">
        <v>0.1</v>
      </c>
      <c r="B25">
        <v>7.0000000000000007E-2</v>
      </c>
      <c r="C25">
        <v>0.03</v>
      </c>
      <c r="D25">
        <v>0.04</v>
      </c>
      <c r="E25">
        <v>-1.2</v>
      </c>
      <c r="F25">
        <v>-1.1000000000000001</v>
      </c>
      <c r="G25">
        <v>-0.6</v>
      </c>
      <c r="H25">
        <v>-0.7</v>
      </c>
      <c r="I25">
        <v>-0.5</v>
      </c>
      <c r="J25">
        <v>-7.0000000000000007E-2</v>
      </c>
      <c r="K25">
        <f t="shared" si="28"/>
        <v>0.7</v>
      </c>
      <c r="L25">
        <f t="shared" si="29"/>
        <v>0.62000000000000011</v>
      </c>
      <c r="M25">
        <f t="shared" si="30"/>
        <v>0.32999999999999996</v>
      </c>
      <c r="N25">
        <f t="shared" si="31"/>
        <v>0.38999999999999996</v>
      </c>
      <c r="O25">
        <f t="shared" si="32"/>
        <v>8.4000000000000005E-2</v>
      </c>
      <c r="P25">
        <f t="shared" si="33"/>
        <v>7.7000000000000013E-2</v>
      </c>
      <c r="Q25">
        <f t="shared" si="34"/>
        <v>4.2000000000000003E-2</v>
      </c>
      <c r="R25">
        <f t="shared" si="35"/>
        <v>4.9000000000000002E-2</v>
      </c>
      <c r="S25">
        <v>1</v>
      </c>
      <c r="T25">
        <v>-1</v>
      </c>
      <c r="U25">
        <f t="shared" si="36"/>
        <v>1.01</v>
      </c>
      <c r="V25">
        <f t="shared" si="37"/>
        <v>0.126</v>
      </c>
      <c r="W25">
        <f t="shared" si="38"/>
        <v>0.70699999999999996</v>
      </c>
      <c r="X25">
        <f t="shared" si="39"/>
        <v>0.17304000000000003</v>
      </c>
      <c r="Y25">
        <f t="shared" si="40"/>
        <v>1.0584000000000001E-2</v>
      </c>
      <c r="Z25">
        <v>1993</v>
      </c>
      <c r="AA25">
        <v>-1</v>
      </c>
      <c r="AB25">
        <f t="shared" si="27"/>
        <v>0.54454400000000003</v>
      </c>
    </row>
    <row r="26" spans="1:29" x14ac:dyDescent="0.2">
      <c r="A26">
        <v>0.1</v>
      </c>
      <c r="B26">
        <v>7.0000000000000007E-2</v>
      </c>
      <c r="C26">
        <v>0.03</v>
      </c>
      <c r="D26">
        <v>0.04</v>
      </c>
      <c r="E26">
        <v>-1.2</v>
      </c>
      <c r="F26">
        <v>-1.1000000000000001</v>
      </c>
      <c r="G26">
        <v>-0.6</v>
      </c>
      <c r="H26">
        <v>-0.7</v>
      </c>
      <c r="I26">
        <v>-0.5</v>
      </c>
      <c r="J26">
        <v>-7.0000000000000007E-2</v>
      </c>
      <c r="K26">
        <f t="shared" si="28"/>
        <v>0.7</v>
      </c>
      <c r="L26">
        <f t="shared" si="29"/>
        <v>0.62000000000000011</v>
      </c>
      <c r="M26">
        <f t="shared" si="30"/>
        <v>0.32999999999999996</v>
      </c>
      <c r="N26">
        <f t="shared" si="31"/>
        <v>0.38999999999999996</v>
      </c>
      <c r="O26">
        <f t="shared" si="32"/>
        <v>8.4000000000000005E-2</v>
      </c>
      <c r="P26">
        <f t="shared" si="33"/>
        <v>7.7000000000000013E-2</v>
      </c>
      <c r="Q26">
        <f t="shared" si="34"/>
        <v>4.2000000000000003E-2</v>
      </c>
      <c r="R26">
        <f t="shared" si="35"/>
        <v>4.9000000000000002E-2</v>
      </c>
      <c r="S26">
        <v>1</v>
      </c>
      <c r="T26">
        <v>-1</v>
      </c>
      <c r="U26">
        <f t="shared" si="36"/>
        <v>1.01</v>
      </c>
      <c r="V26">
        <f t="shared" si="37"/>
        <v>0.126</v>
      </c>
      <c r="W26">
        <f t="shared" si="38"/>
        <v>0.70699999999999996</v>
      </c>
      <c r="X26">
        <f t="shared" si="39"/>
        <v>0.17304000000000003</v>
      </c>
      <c r="Y26">
        <f t="shared" si="40"/>
        <v>1.0584000000000001E-2</v>
      </c>
      <c r="Z26">
        <v>1995</v>
      </c>
      <c r="AA26">
        <v>-0.09</v>
      </c>
      <c r="AB26">
        <f t="shared" si="27"/>
        <v>0.69151213040000004</v>
      </c>
    </row>
    <row r="27" spans="1:29" x14ac:dyDescent="0.2">
      <c r="A27">
        <v>0.1</v>
      </c>
      <c r="B27">
        <v>7.0000000000000007E-2</v>
      </c>
      <c r="C27">
        <v>0.03</v>
      </c>
      <c r="D27">
        <v>0.04</v>
      </c>
      <c r="E27">
        <v>-1.2</v>
      </c>
      <c r="F27">
        <v>-1.1000000000000001</v>
      </c>
      <c r="G27">
        <v>-0.6</v>
      </c>
      <c r="H27">
        <v>-0.7</v>
      </c>
      <c r="I27">
        <v>-0.5</v>
      </c>
      <c r="J27">
        <v>-7.0000000000000007E-2</v>
      </c>
      <c r="K27">
        <f t="shared" si="28"/>
        <v>0.7</v>
      </c>
      <c r="L27">
        <f t="shared" si="29"/>
        <v>0.62000000000000011</v>
      </c>
      <c r="M27">
        <f t="shared" si="30"/>
        <v>0.32999999999999996</v>
      </c>
      <c r="N27">
        <f t="shared" si="31"/>
        <v>0.38999999999999996</v>
      </c>
      <c r="O27">
        <f t="shared" si="32"/>
        <v>8.4000000000000005E-2</v>
      </c>
      <c r="P27">
        <f t="shared" si="33"/>
        <v>7.7000000000000013E-2</v>
      </c>
      <c r="Q27">
        <f t="shared" si="34"/>
        <v>4.2000000000000003E-2</v>
      </c>
      <c r="R27">
        <f t="shared" si="35"/>
        <v>4.9000000000000002E-2</v>
      </c>
      <c r="S27">
        <v>1</v>
      </c>
      <c r="T27">
        <v>-1</v>
      </c>
      <c r="U27">
        <f t="shared" si="36"/>
        <v>1.01</v>
      </c>
      <c r="V27">
        <f t="shared" si="37"/>
        <v>0.126</v>
      </c>
      <c r="W27">
        <f t="shared" si="38"/>
        <v>0.70699999999999996</v>
      </c>
      <c r="X27">
        <f t="shared" si="39"/>
        <v>0.17304000000000003</v>
      </c>
      <c r="Y27">
        <f t="shared" si="40"/>
        <v>1.0584000000000001E-2</v>
      </c>
      <c r="Z27">
        <v>1997</v>
      </c>
      <c r="AA27">
        <v>-0.09</v>
      </c>
      <c r="AB27">
        <f t="shared" si="27"/>
        <v>0.69151213040000004</v>
      </c>
    </row>
    <row r="28" spans="1:29" x14ac:dyDescent="0.2">
      <c r="A28">
        <v>0.1</v>
      </c>
      <c r="B28">
        <v>7.0000000000000007E-2</v>
      </c>
      <c r="C28">
        <v>0.03</v>
      </c>
      <c r="D28">
        <v>0.04</v>
      </c>
      <c r="E28">
        <v>-1.2</v>
      </c>
      <c r="F28">
        <v>-1.1000000000000001</v>
      </c>
      <c r="G28">
        <v>-0.6</v>
      </c>
      <c r="H28">
        <v>-0.7</v>
      </c>
      <c r="I28">
        <v>-0.5</v>
      </c>
      <c r="J28">
        <v>-7.0000000000000007E-2</v>
      </c>
      <c r="K28">
        <f t="shared" si="28"/>
        <v>0.7</v>
      </c>
      <c r="L28">
        <f t="shared" si="29"/>
        <v>0.62000000000000011</v>
      </c>
      <c r="M28">
        <f t="shared" si="30"/>
        <v>0.32999999999999996</v>
      </c>
      <c r="N28">
        <f t="shared" si="31"/>
        <v>0.38999999999999996</v>
      </c>
      <c r="O28">
        <f t="shared" si="32"/>
        <v>8.4000000000000005E-2</v>
      </c>
      <c r="P28">
        <f t="shared" si="33"/>
        <v>7.7000000000000013E-2</v>
      </c>
      <c r="Q28">
        <f t="shared" si="34"/>
        <v>4.2000000000000003E-2</v>
      </c>
      <c r="R28">
        <f t="shared" si="35"/>
        <v>4.9000000000000002E-2</v>
      </c>
      <c r="S28">
        <v>1</v>
      </c>
      <c r="T28">
        <v>-1</v>
      </c>
      <c r="U28">
        <f t="shared" si="36"/>
        <v>1.01</v>
      </c>
      <c r="V28">
        <f t="shared" si="37"/>
        <v>0.126</v>
      </c>
      <c r="W28">
        <f t="shared" si="38"/>
        <v>0.70699999999999996</v>
      </c>
      <c r="X28">
        <f t="shared" si="39"/>
        <v>0.17304000000000003</v>
      </c>
      <c r="Y28">
        <f t="shared" si="40"/>
        <v>1.0584000000000001E-2</v>
      </c>
      <c r="Z28">
        <v>1999</v>
      </c>
      <c r="AA28">
        <v>-0.09</v>
      </c>
      <c r="AB28">
        <f t="shared" si="27"/>
        <v>0.69151213040000004</v>
      </c>
    </row>
    <row r="29" spans="1:29" x14ac:dyDescent="0.2">
      <c r="A29">
        <v>0.1</v>
      </c>
      <c r="B29">
        <v>7.0000000000000007E-2</v>
      </c>
      <c r="C29">
        <v>0.03</v>
      </c>
      <c r="D29">
        <v>0.04</v>
      </c>
      <c r="E29">
        <v>-1.2</v>
      </c>
      <c r="F29">
        <v>-1.1000000000000001</v>
      </c>
      <c r="G29">
        <v>-0.6</v>
      </c>
      <c r="H29">
        <v>-0.7</v>
      </c>
      <c r="I29">
        <v>-0.5</v>
      </c>
      <c r="J29">
        <v>-7.0000000000000007E-2</v>
      </c>
      <c r="K29">
        <f t="shared" si="28"/>
        <v>0.7</v>
      </c>
      <c r="L29">
        <f t="shared" si="29"/>
        <v>0.62000000000000011</v>
      </c>
      <c r="M29">
        <f t="shared" si="30"/>
        <v>0.32999999999999996</v>
      </c>
      <c r="N29">
        <f t="shared" si="31"/>
        <v>0.38999999999999996</v>
      </c>
      <c r="O29">
        <f t="shared" si="32"/>
        <v>8.4000000000000005E-2</v>
      </c>
      <c r="P29">
        <f t="shared" si="33"/>
        <v>7.7000000000000013E-2</v>
      </c>
      <c r="Q29">
        <f t="shared" si="34"/>
        <v>4.2000000000000003E-2</v>
      </c>
      <c r="R29">
        <f t="shared" si="35"/>
        <v>4.9000000000000002E-2</v>
      </c>
      <c r="S29">
        <v>1</v>
      </c>
      <c r="T29">
        <v>-1</v>
      </c>
      <c r="U29">
        <f t="shared" si="36"/>
        <v>1.01</v>
      </c>
      <c r="V29">
        <f t="shared" si="37"/>
        <v>0.126</v>
      </c>
      <c r="W29">
        <f t="shared" si="38"/>
        <v>0.70699999999999996</v>
      </c>
      <c r="X29">
        <f t="shared" si="39"/>
        <v>0.17304000000000003</v>
      </c>
      <c r="Y29">
        <f t="shared" si="40"/>
        <v>1.0584000000000001E-2</v>
      </c>
      <c r="Z29">
        <v>2001</v>
      </c>
      <c r="AA29">
        <v>0.82</v>
      </c>
      <c r="AB29">
        <f t="shared" si="27"/>
        <v>0.85600948160000001</v>
      </c>
    </row>
    <row r="30" spans="1:29" x14ac:dyDescent="0.2">
      <c r="A30">
        <v>0.1</v>
      </c>
      <c r="B30">
        <v>7.0000000000000007E-2</v>
      </c>
      <c r="C30">
        <v>0.03</v>
      </c>
      <c r="D30">
        <v>0.04</v>
      </c>
      <c r="E30">
        <v>-1.2</v>
      </c>
      <c r="F30">
        <v>-1.1000000000000001</v>
      </c>
      <c r="G30">
        <v>-0.6</v>
      </c>
      <c r="H30">
        <v>-0.7</v>
      </c>
      <c r="I30">
        <v>-0.5</v>
      </c>
      <c r="J30">
        <v>-7.0000000000000007E-2</v>
      </c>
      <c r="K30">
        <f t="shared" si="28"/>
        <v>0.7</v>
      </c>
      <c r="L30">
        <f t="shared" si="29"/>
        <v>0.62000000000000011</v>
      </c>
      <c r="M30">
        <f t="shared" si="30"/>
        <v>0.32999999999999996</v>
      </c>
      <c r="N30">
        <f t="shared" si="31"/>
        <v>0.38999999999999996</v>
      </c>
      <c r="O30">
        <f t="shared" si="32"/>
        <v>8.4000000000000005E-2</v>
      </c>
      <c r="P30">
        <f t="shared" si="33"/>
        <v>7.7000000000000013E-2</v>
      </c>
      <c r="Q30">
        <f t="shared" si="34"/>
        <v>4.2000000000000003E-2</v>
      </c>
      <c r="R30">
        <f t="shared" si="35"/>
        <v>4.9000000000000002E-2</v>
      </c>
      <c r="S30">
        <v>1</v>
      </c>
      <c r="T30">
        <v>-1</v>
      </c>
      <c r="U30">
        <f t="shared" si="36"/>
        <v>1.01</v>
      </c>
      <c r="V30">
        <f t="shared" si="37"/>
        <v>0.126</v>
      </c>
      <c r="W30">
        <f t="shared" si="38"/>
        <v>0.70699999999999996</v>
      </c>
      <c r="X30">
        <f t="shared" si="39"/>
        <v>0.17304000000000003</v>
      </c>
      <c r="Y30">
        <f t="shared" si="40"/>
        <v>1.0584000000000001E-2</v>
      </c>
      <c r="Z30">
        <v>2003</v>
      </c>
      <c r="AA30">
        <v>1</v>
      </c>
      <c r="AB30">
        <f t="shared" si="27"/>
        <v>0.89062399999999997</v>
      </c>
    </row>
    <row r="31" spans="1:29" x14ac:dyDescent="0.2">
      <c r="A31">
        <v>0.1</v>
      </c>
      <c r="B31">
        <v>7.0000000000000007E-2</v>
      </c>
      <c r="C31">
        <v>0.03</v>
      </c>
      <c r="D31">
        <v>0.04</v>
      </c>
      <c r="E31">
        <v>-1.2</v>
      </c>
      <c r="F31">
        <v>-1.1000000000000001</v>
      </c>
      <c r="G31">
        <v>-0.6</v>
      </c>
      <c r="H31">
        <v>-0.7</v>
      </c>
      <c r="I31">
        <v>-0.5</v>
      </c>
      <c r="J31">
        <v>-7.0000000000000007E-2</v>
      </c>
      <c r="K31">
        <f t="shared" si="28"/>
        <v>0.7</v>
      </c>
      <c r="L31">
        <f t="shared" si="29"/>
        <v>0.62000000000000011</v>
      </c>
      <c r="M31">
        <f t="shared" si="30"/>
        <v>0.32999999999999996</v>
      </c>
      <c r="N31">
        <f t="shared" si="31"/>
        <v>0.38999999999999996</v>
      </c>
      <c r="O31">
        <f t="shared" si="32"/>
        <v>8.4000000000000005E-2</v>
      </c>
      <c r="P31">
        <f t="shared" si="33"/>
        <v>7.7000000000000013E-2</v>
      </c>
      <c r="Q31">
        <f t="shared" si="34"/>
        <v>4.2000000000000003E-2</v>
      </c>
      <c r="R31">
        <f t="shared" si="35"/>
        <v>4.9000000000000002E-2</v>
      </c>
      <c r="S31">
        <v>1</v>
      </c>
      <c r="T31">
        <v>-1</v>
      </c>
      <c r="U31">
        <f t="shared" si="36"/>
        <v>1.01</v>
      </c>
      <c r="V31">
        <f t="shared" si="37"/>
        <v>0.126</v>
      </c>
      <c r="W31">
        <f t="shared" si="38"/>
        <v>0.70699999999999996</v>
      </c>
      <c r="X31">
        <f t="shared" si="39"/>
        <v>0.17304000000000003</v>
      </c>
      <c r="Y31">
        <f t="shared" si="40"/>
        <v>1.0584000000000001E-2</v>
      </c>
      <c r="Z31">
        <v>2005</v>
      </c>
      <c r="AA31">
        <v>1</v>
      </c>
      <c r="AB31">
        <f t="shared" si="27"/>
        <v>0.89062399999999997</v>
      </c>
    </row>
    <row r="32" spans="1:29" x14ac:dyDescent="0.2">
      <c r="A32">
        <v>0.1</v>
      </c>
      <c r="B32">
        <v>7.0000000000000007E-2</v>
      </c>
      <c r="C32">
        <v>0.03</v>
      </c>
      <c r="D32">
        <v>0.04</v>
      </c>
      <c r="E32">
        <v>-1.2</v>
      </c>
      <c r="F32">
        <v>-1.1000000000000001</v>
      </c>
      <c r="G32">
        <v>-0.6</v>
      </c>
      <c r="H32">
        <v>-0.7</v>
      </c>
      <c r="I32">
        <v>-0.5</v>
      </c>
      <c r="J32">
        <v>-7.0000000000000007E-2</v>
      </c>
      <c r="K32">
        <f t="shared" si="28"/>
        <v>0.7</v>
      </c>
      <c r="L32">
        <f t="shared" si="29"/>
        <v>0.62000000000000011</v>
      </c>
      <c r="M32">
        <f t="shared" si="30"/>
        <v>0.32999999999999996</v>
      </c>
      <c r="N32">
        <f t="shared" si="31"/>
        <v>0.38999999999999996</v>
      </c>
      <c r="O32">
        <f t="shared" si="32"/>
        <v>8.4000000000000005E-2</v>
      </c>
      <c r="P32">
        <f t="shared" si="33"/>
        <v>7.7000000000000013E-2</v>
      </c>
      <c r="Q32">
        <f t="shared" si="34"/>
        <v>4.2000000000000003E-2</v>
      </c>
      <c r="R32">
        <f t="shared" si="35"/>
        <v>4.9000000000000002E-2</v>
      </c>
      <c r="S32">
        <v>1</v>
      </c>
      <c r="T32">
        <v>-1</v>
      </c>
      <c r="U32">
        <f t="shared" si="36"/>
        <v>1.01</v>
      </c>
      <c r="V32">
        <f t="shared" si="37"/>
        <v>0.126</v>
      </c>
      <c r="W32">
        <f t="shared" si="38"/>
        <v>0.70699999999999996</v>
      </c>
      <c r="X32">
        <f t="shared" si="39"/>
        <v>0.17304000000000003</v>
      </c>
      <c r="Y32">
        <f t="shared" si="40"/>
        <v>1.0584000000000001E-2</v>
      </c>
      <c r="Z32">
        <v>2007</v>
      </c>
      <c r="AA32">
        <v>0.27</v>
      </c>
      <c r="AB32">
        <f t="shared" si="27"/>
        <v>0.75449237359999999</v>
      </c>
    </row>
    <row r="33" spans="1:29" x14ac:dyDescent="0.2">
      <c r="A33">
        <v>0.1</v>
      </c>
      <c r="B33">
        <v>7.0000000000000007E-2</v>
      </c>
      <c r="C33">
        <v>0.03</v>
      </c>
      <c r="D33">
        <v>0.04</v>
      </c>
      <c r="E33">
        <v>-1.2</v>
      </c>
      <c r="F33">
        <v>-1.1000000000000001</v>
      </c>
      <c r="G33">
        <v>-0.6</v>
      </c>
      <c r="H33">
        <v>-0.7</v>
      </c>
      <c r="I33">
        <v>-0.5</v>
      </c>
      <c r="J33">
        <v>-7.0000000000000007E-2</v>
      </c>
      <c r="K33">
        <f t="shared" si="28"/>
        <v>0.7</v>
      </c>
      <c r="L33">
        <f t="shared" si="29"/>
        <v>0.62000000000000011</v>
      </c>
      <c r="M33">
        <f t="shared" si="30"/>
        <v>0.32999999999999996</v>
      </c>
      <c r="N33">
        <f t="shared" si="31"/>
        <v>0.38999999999999996</v>
      </c>
      <c r="O33">
        <f t="shared" si="32"/>
        <v>8.4000000000000005E-2</v>
      </c>
      <c r="P33">
        <f t="shared" si="33"/>
        <v>7.7000000000000013E-2</v>
      </c>
      <c r="Q33">
        <f t="shared" si="34"/>
        <v>4.2000000000000003E-2</v>
      </c>
      <c r="R33">
        <f t="shared" si="35"/>
        <v>4.9000000000000002E-2</v>
      </c>
      <c r="S33">
        <v>1</v>
      </c>
      <c r="T33">
        <v>-1</v>
      </c>
      <c r="U33">
        <f t="shared" si="36"/>
        <v>1.01</v>
      </c>
      <c r="V33">
        <f t="shared" si="37"/>
        <v>0.126</v>
      </c>
      <c r="W33">
        <f t="shared" si="38"/>
        <v>0.70699999999999996</v>
      </c>
      <c r="X33">
        <f t="shared" si="39"/>
        <v>0.17304000000000003</v>
      </c>
      <c r="Y33">
        <f t="shared" si="40"/>
        <v>1.0584000000000001E-2</v>
      </c>
      <c r="Z33">
        <v>2009</v>
      </c>
      <c r="AA33">
        <v>-1</v>
      </c>
      <c r="AB33">
        <f t="shared" si="27"/>
        <v>0.54454400000000003</v>
      </c>
    </row>
    <row r="34" spans="1:29" x14ac:dyDescent="0.2">
      <c r="A34">
        <v>0.1</v>
      </c>
      <c r="B34">
        <v>7.0000000000000007E-2</v>
      </c>
      <c r="C34">
        <v>0.03</v>
      </c>
      <c r="D34">
        <v>0.04</v>
      </c>
      <c r="E34">
        <v>-1.2</v>
      </c>
      <c r="F34">
        <v>-1.1000000000000001</v>
      </c>
      <c r="G34">
        <v>-0.6</v>
      </c>
      <c r="H34">
        <v>-0.7</v>
      </c>
      <c r="I34">
        <v>-0.5</v>
      </c>
      <c r="J34">
        <v>-7.0000000000000007E-2</v>
      </c>
      <c r="K34">
        <f t="shared" si="28"/>
        <v>0.7</v>
      </c>
      <c r="L34">
        <f t="shared" si="29"/>
        <v>0.62000000000000011</v>
      </c>
      <c r="M34">
        <f t="shared" si="30"/>
        <v>0.32999999999999996</v>
      </c>
      <c r="N34">
        <f t="shared" si="31"/>
        <v>0.38999999999999996</v>
      </c>
      <c r="O34">
        <f t="shared" si="32"/>
        <v>8.4000000000000005E-2</v>
      </c>
      <c r="P34">
        <f t="shared" si="33"/>
        <v>7.7000000000000013E-2</v>
      </c>
      <c r="Q34">
        <f t="shared" si="34"/>
        <v>4.2000000000000003E-2</v>
      </c>
      <c r="R34">
        <f t="shared" si="35"/>
        <v>4.9000000000000002E-2</v>
      </c>
      <c r="S34">
        <v>1</v>
      </c>
      <c r="T34">
        <v>-1</v>
      </c>
      <c r="U34">
        <f t="shared" si="36"/>
        <v>1.01</v>
      </c>
      <c r="V34">
        <f t="shared" si="37"/>
        <v>0.126</v>
      </c>
      <c r="W34">
        <f t="shared" si="38"/>
        <v>0.70699999999999996</v>
      </c>
      <c r="X34">
        <f t="shared" si="39"/>
        <v>0.17304000000000003</v>
      </c>
      <c r="Y34">
        <f t="shared" si="40"/>
        <v>1.0584000000000001E-2</v>
      </c>
      <c r="Z34">
        <v>2011</v>
      </c>
      <c r="AA34">
        <v>-0.45</v>
      </c>
      <c r="AB34">
        <f t="shared" si="27"/>
        <v>0.63127525999999989</v>
      </c>
    </row>
    <row r="35" spans="1:29" x14ac:dyDescent="0.2">
      <c r="A35">
        <v>0.1</v>
      </c>
      <c r="B35">
        <v>7.0000000000000007E-2</v>
      </c>
      <c r="C35">
        <v>0.03</v>
      </c>
      <c r="D35">
        <v>0.04</v>
      </c>
      <c r="E35">
        <v>-1.2</v>
      </c>
      <c r="F35">
        <v>-1.1000000000000001</v>
      </c>
      <c r="G35">
        <v>-0.6</v>
      </c>
      <c r="H35">
        <v>-0.7</v>
      </c>
      <c r="I35">
        <v>-0.5</v>
      </c>
      <c r="J35">
        <v>-7.0000000000000007E-2</v>
      </c>
      <c r="K35">
        <f t="shared" si="28"/>
        <v>0.7</v>
      </c>
      <c r="L35">
        <f t="shared" si="29"/>
        <v>0.62000000000000011</v>
      </c>
      <c r="M35">
        <f t="shared" si="30"/>
        <v>0.32999999999999996</v>
      </c>
      <c r="N35">
        <f t="shared" si="31"/>
        <v>0.38999999999999996</v>
      </c>
      <c r="O35">
        <f t="shared" si="32"/>
        <v>8.4000000000000005E-2</v>
      </c>
      <c r="P35">
        <f t="shared" si="33"/>
        <v>7.7000000000000013E-2</v>
      </c>
      <c r="Q35">
        <f t="shared" si="34"/>
        <v>4.2000000000000003E-2</v>
      </c>
      <c r="R35">
        <f t="shared" si="35"/>
        <v>4.9000000000000002E-2</v>
      </c>
      <c r="S35">
        <v>1</v>
      </c>
      <c r="T35">
        <v>-1</v>
      </c>
      <c r="U35">
        <f t="shared" si="36"/>
        <v>1.01</v>
      </c>
      <c r="V35">
        <f t="shared" si="37"/>
        <v>0.126</v>
      </c>
      <c r="W35">
        <f t="shared" si="38"/>
        <v>0.70699999999999996</v>
      </c>
      <c r="X35">
        <f t="shared" si="39"/>
        <v>0.17304000000000003</v>
      </c>
      <c r="Y35">
        <f t="shared" si="40"/>
        <v>1.0584000000000001E-2</v>
      </c>
      <c r="Z35">
        <v>2013</v>
      </c>
      <c r="AA35">
        <v>-0.45</v>
      </c>
      <c r="AB35">
        <f t="shared" si="27"/>
        <v>0.63127525999999989</v>
      </c>
    </row>
    <row r="36" spans="1:29" x14ac:dyDescent="0.2">
      <c r="A36">
        <v>0.1</v>
      </c>
      <c r="B36">
        <v>7.0000000000000007E-2</v>
      </c>
      <c r="C36">
        <v>0.03</v>
      </c>
      <c r="D36">
        <v>0.04</v>
      </c>
      <c r="E36">
        <v>-1.2</v>
      </c>
      <c r="F36">
        <v>-1.1000000000000001</v>
      </c>
      <c r="G36">
        <v>-0.6</v>
      </c>
      <c r="H36">
        <v>-0.7</v>
      </c>
      <c r="I36">
        <v>-0.5</v>
      </c>
      <c r="J36">
        <v>-7.0000000000000007E-2</v>
      </c>
      <c r="K36">
        <f t="shared" si="28"/>
        <v>0.7</v>
      </c>
      <c r="L36">
        <f t="shared" si="29"/>
        <v>0.62000000000000011</v>
      </c>
      <c r="M36">
        <f t="shared" si="30"/>
        <v>0.32999999999999996</v>
      </c>
      <c r="N36">
        <f t="shared" si="31"/>
        <v>0.38999999999999996</v>
      </c>
      <c r="O36">
        <f t="shared" si="32"/>
        <v>8.4000000000000005E-2</v>
      </c>
      <c r="P36">
        <f t="shared" si="33"/>
        <v>7.7000000000000013E-2</v>
      </c>
      <c r="Q36">
        <f t="shared" si="34"/>
        <v>4.2000000000000003E-2</v>
      </c>
      <c r="R36">
        <f t="shared" si="35"/>
        <v>4.9000000000000002E-2</v>
      </c>
      <c r="S36">
        <v>1</v>
      </c>
      <c r="T36">
        <v>-1</v>
      </c>
      <c r="U36">
        <f t="shared" si="36"/>
        <v>1.01</v>
      </c>
      <c r="V36">
        <f t="shared" si="37"/>
        <v>0.126</v>
      </c>
      <c r="W36">
        <f t="shared" si="38"/>
        <v>0.70699999999999996</v>
      </c>
      <c r="X36">
        <f t="shared" si="39"/>
        <v>0.17304000000000003</v>
      </c>
      <c r="Y36">
        <f t="shared" si="40"/>
        <v>1.0584000000000001E-2</v>
      </c>
      <c r="Z36">
        <v>2015</v>
      </c>
      <c r="AA36">
        <v>-0.09</v>
      </c>
      <c r="AB36">
        <f t="shared" si="27"/>
        <v>0.69151213040000004</v>
      </c>
    </row>
    <row r="37" spans="1:29" x14ac:dyDescent="0.2">
      <c r="A37">
        <v>0.1</v>
      </c>
      <c r="B37">
        <v>7.0000000000000007E-2</v>
      </c>
      <c r="C37">
        <v>0.03</v>
      </c>
      <c r="D37">
        <v>0.04</v>
      </c>
      <c r="E37">
        <v>-1.2</v>
      </c>
      <c r="F37">
        <v>-1.1000000000000001</v>
      </c>
      <c r="G37">
        <v>-0.6</v>
      </c>
      <c r="H37">
        <v>-0.7</v>
      </c>
      <c r="I37">
        <v>-0.5</v>
      </c>
      <c r="J37">
        <v>-7.0000000000000007E-2</v>
      </c>
      <c r="K37">
        <f t="shared" si="28"/>
        <v>0.7</v>
      </c>
      <c r="L37">
        <f t="shared" si="29"/>
        <v>0.62000000000000011</v>
      </c>
      <c r="M37">
        <f t="shared" si="30"/>
        <v>0.32999999999999996</v>
      </c>
      <c r="N37">
        <f t="shared" si="31"/>
        <v>0.38999999999999996</v>
      </c>
      <c r="O37">
        <f t="shared" si="32"/>
        <v>8.4000000000000005E-2</v>
      </c>
      <c r="P37">
        <f t="shared" si="33"/>
        <v>7.7000000000000013E-2</v>
      </c>
      <c r="Q37">
        <f t="shared" si="34"/>
        <v>4.2000000000000003E-2</v>
      </c>
      <c r="R37">
        <f t="shared" si="35"/>
        <v>4.9000000000000002E-2</v>
      </c>
      <c r="S37">
        <v>1</v>
      </c>
      <c r="T37">
        <v>-1</v>
      </c>
      <c r="U37">
        <f t="shared" si="36"/>
        <v>1.01</v>
      </c>
      <c r="V37">
        <f t="shared" si="37"/>
        <v>0.126</v>
      </c>
      <c r="W37">
        <f t="shared" si="38"/>
        <v>0.70699999999999996</v>
      </c>
      <c r="X37">
        <f t="shared" si="39"/>
        <v>0.17304000000000003</v>
      </c>
      <c r="Y37">
        <f t="shared" si="40"/>
        <v>1.0584000000000001E-2</v>
      </c>
      <c r="Z37">
        <v>2017</v>
      </c>
      <c r="AA37">
        <v>1.2</v>
      </c>
      <c r="AB37">
        <f t="shared" si="27"/>
        <v>0.92988895999999999</v>
      </c>
    </row>
    <row r="38" spans="1:29" x14ac:dyDescent="0.2">
      <c r="A38">
        <v>0.1</v>
      </c>
      <c r="B38">
        <v>7.0000000000000007E-2</v>
      </c>
      <c r="C38">
        <v>0.03</v>
      </c>
      <c r="D38">
        <v>0.04</v>
      </c>
      <c r="E38">
        <v>-1.2</v>
      </c>
      <c r="F38">
        <v>-1.1000000000000001</v>
      </c>
      <c r="G38">
        <v>-0.6</v>
      </c>
      <c r="H38">
        <v>-0.7</v>
      </c>
      <c r="I38">
        <v>-0.5</v>
      </c>
      <c r="J38">
        <v>-7.0000000000000007E-2</v>
      </c>
      <c r="K38">
        <f t="shared" si="28"/>
        <v>0.7</v>
      </c>
      <c r="L38">
        <f t="shared" si="29"/>
        <v>0.62000000000000011</v>
      </c>
      <c r="M38">
        <f t="shared" si="30"/>
        <v>0.32999999999999996</v>
      </c>
      <c r="N38">
        <f t="shared" si="31"/>
        <v>0.38999999999999996</v>
      </c>
      <c r="O38">
        <f t="shared" si="32"/>
        <v>8.4000000000000005E-2</v>
      </c>
      <c r="P38">
        <f t="shared" si="33"/>
        <v>7.7000000000000013E-2</v>
      </c>
      <c r="Q38">
        <f t="shared" si="34"/>
        <v>4.2000000000000003E-2</v>
      </c>
      <c r="R38">
        <f t="shared" si="35"/>
        <v>4.9000000000000002E-2</v>
      </c>
      <c r="S38">
        <v>1</v>
      </c>
      <c r="T38">
        <v>-1</v>
      </c>
      <c r="U38">
        <f t="shared" si="36"/>
        <v>1.01</v>
      </c>
      <c r="V38">
        <f t="shared" si="37"/>
        <v>0.126</v>
      </c>
      <c r="W38">
        <f t="shared" si="38"/>
        <v>0.70699999999999996</v>
      </c>
      <c r="X38">
        <f t="shared" si="39"/>
        <v>0.17304000000000003</v>
      </c>
      <c r="Y38">
        <f t="shared" si="40"/>
        <v>1.0584000000000001E-2</v>
      </c>
      <c r="Z38">
        <v>2019</v>
      </c>
      <c r="AA38">
        <v>0.65</v>
      </c>
      <c r="AB38">
        <f t="shared" si="27"/>
        <v>0.82394773999999993</v>
      </c>
    </row>
    <row r="39" spans="1:29" x14ac:dyDescent="0.2">
      <c r="A39">
        <v>0.1</v>
      </c>
      <c r="B39">
        <v>7.0000000000000007E-2</v>
      </c>
      <c r="C39">
        <v>0.03</v>
      </c>
      <c r="D39">
        <v>0.04</v>
      </c>
      <c r="E39">
        <v>-1.2</v>
      </c>
      <c r="F39">
        <v>-1.1000000000000001</v>
      </c>
      <c r="G39">
        <v>-0.6</v>
      </c>
      <c r="H39">
        <v>-0.7</v>
      </c>
      <c r="I39">
        <v>-0.5</v>
      </c>
      <c r="J39">
        <v>-7.0000000000000007E-2</v>
      </c>
      <c r="K39">
        <f t="shared" si="28"/>
        <v>0.7</v>
      </c>
      <c r="L39">
        <f t="shared" si="29"/>
        <v>0.62000000000000011</v>
      </c>
      <c r="M39">
        <f t="shared" si="30"/>
        <v>0.32999999999999996</v>
      </c>
      <c r="N39">
        <f t="shared" si="31"/>
        <v>0.38999999999999996</v>
      </c>
      <c r="O39">
        <f t="shared" si="32"/>
        <v>8.4000000000000005E-2</v>
      </c>
      <c r="P39">
        <f t="shared" si="33"/>
        <v>7.7000000000000013E-2</v>
      </c>
      <c r="Q39">
        <f t="shared" si="34"/>
        <v>4.2000000000000003E-2</v>
      </c>
      <c r="R39">
        <f t="shared" si="35"/>
        <v>4.9000000000000002E-2</v>
      </c>
      <c r="S39">
        <v>1</v>
      </c>
      <c r="T39">
        <v>-1</v>
      </c>
      <c r="U39">
        <f t="shared" si="36"/>
        <v>1.01</v>
      </c>
      <c r="V39">
        <f t="shared" si="37"/>
        <v>0.126</v>
      </c>
      <c r="W39">
        <f t="shared" si="38"/>
        <v>0.70699999999999996</v>
      </c>
      <c r="X39">
        <f t="shared" si="39"/>
        <v>0.17304000000000003</v>
      </c>
      <c r="Y39">
        <f t="shared" si="40"/>
        <v>1.0584000000000001E-2</v>
      </c>
      <c r="Z39">
        <v>2021</v>
      </c>
      <c r="AA39">
        <v>-0.64</v>
      </c>
      <c r="AB39">
        <f t="shared" si="27"/>
        <v>0.60058960639999992</v>
      </c>
    </row>
    <row r="40" spans="1:29" x14ac:dyDescent="0.2">
      <c r="A40">
        <v>0.1</v>
      </c>
      <c r="B40">
        <v>7.0000000000000007E-2</v>
      </c>
      <c r="C40">
        <v>0.03</v>
      </c>
      <c r="D40">
        <v>0.04</v>
      </c>
      <c r="E40">
        <v>-1.2</v>
      </c>
      <c r="F40">
        <v>-1.1000000000000001</v>
      </c>
      <c r="G40">
        <v>-0.6</v>
      </c>
      <c r="H40">
        <v>-0.7</v>
      </c>
      <c r="I40">
        <v>-0.5</v>
      </c>
      <c r="J40">
        <v>-7.0000000000000007E-2</v>
      </c>
      <c r="K40">
        <f t="shared" si="28"/>
        <v>0.7</v>
      </c>
      <c r="L40">
        <f t="shared" si="29"/>
        <v>0.62000000000000011</v>
      </c>
      <c r="M40">
        <f t="shared" si="30"/>
        <v>0.32999999999999996</v>
      </c>
      <c r="N40">
        <f t="shared" si="31"/>
        <v>0.38999999999999996</v>
      </c>
      <c r="O40">
        <f t="shared" si="32"/>
        <v>8.4000000000000005E-2</v>
      </c>
      <c r="P40">
        <f t="shared" si="33"/>
        <v>7.7000000000000013E-2</v>
      </c>
      <c r="Q40">
        <f t="shared" si="34"/>
        <v>4.2000000000000003E-2</v>
      </c>
      <c r="R40">
        <f t="shared" si="35"/>
        <v>4.9000000000000002E-2</v>
      </c>
      <c r="S40">
        <v>1</v>
      </c>
      <c r="T40">
        <v>-1</v>
      </c>
      <c r="U40">
        <f t="shared" si="36"/>
        <v>1.01</v>
      </c>
      <c r="V40">
        <f t="shared" si="37"/>
        <v>0.126</v>
      </c>
      <c r="W40">
        <f t="shared" si="38"/>
        <v>0.70699999999999996</v>
      </c>
      <c r="X40">
        <f t="shared" si="39"/>
        <v>0.17304000000000003</v>
      </c>
      <c r="Y40">
        <f t="shared" si="40"/>
        <v>1.0584000000000001E-2</v>
      </c>
      <c r="Z40">
        <v>2023</v>
      </c>
      <c r="AA40">
        <v>-0.09</v>
      </c>
      <c r="AB40">
        <f t="shared" si="27"/>
        <v>0.69151213040000004</v>
      </c>
    </row>
    <row r="41" spans="1:29" x14ac:dyDescent="0.2">
      <c r="A41">
        <v>0.1</v>
      </c>
      <c r="B41">
        <v>7.0000000000000007E-2</v>
      </c>
      <c r="C41">
        <v>0.03</v>
      </c>
      <c r="D41">
        <v>0.04</v>
      </c>
      <c r="E41">
        <v>-1.2</v>
      </c>
      <c r="F41">
        <v>-1.1000000000000001</v>
      </c>
      <c r="G41">
        <v>-0.6</v>
      </c>
      <c r="H41">
        <v>-0.7</v>
      </c>
      <c r="I41">
        <v>-0.5</v>
      </c>
      <c r="J41">
        <v>-7.0000000000000007E-2</v>
      </c>
      <c r="K41">
        <f t="shared" si="28"/>
        <v>0.7</v>
      </c>
      <c r="L41">
        <f t="shared" si="29"/>
        <v>0.62000000000000011</v>
      </c>
      <c r="M41">
        <f t="shared" si="30"/>
        <v>0.32999999999999996</v>
      </c>
      <c r="N41">
        <f t="shared" si="31"/>
        <v>0.38999999999999996</v>
      </c>
      <c r="O41">
        <f t="shared" si="32"/>
        <v>8.4000000000000005E-2</v>
      </c>
      <c r="P41">
        <f t="shared" si="33"/>
        <v>7.7000000000000013E-2</v>
      </c>
      <c r="Q41">
        <f t="shared" si="34"/>
        <v>4.2000000000000003E-2</v>
      </c>
      <c r="R41">
        <f t="shared" si="35"/>
        <v>4.9000000000000002E-2</v>
      </c>
      <c r="S41">
        <v>1</v>
      </c>
      <c r="T41">
        <v>-1</v>
      </c>
      <c r="U41">
        <f t="shared" si="36"/>
        <v>1.01</v>
      </c>
      <c r="V41">
        <f t="shared" si="37"/>
        <v>0.126</v>
      </c>
      <c r="W41">
        <f t="shared" si="38"/>
        <v>0.70699999999999996</v>
      </c>
      <c r="X41">
        <f t="shared" si="39"/>
        <v>0.17304000000000003</v>
      </c>
      <c r="Y41">
        <f t="shared" si="40"/>
        <v>1.0584000000000001E-2</v>
      </c>
      <c r="Z41">
        <v>2025</v>
      </c>
      <c r="AA41">
        <v>1.2</v>
      </c>
      <c r="AB41">
        <f t="shared" si="27"/>
        <v>0.92988895999999999</v>
      </c>
      <c r="AC41" t="s">
        <v>3</v>
      </c>
    </row>
    <row r="44" spans="1:29" x14ac:dyDescent="0.2">
      <c r="A44" t="s">
        <v>0</v>
      </c>
    </row>
    <row r="45" spans="1:29" x14ac:dyDescent="0.2">
      <c r="A45" t="s">
        <v>16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25</v>
      </c>
      <c r="K45" t="s">
        <v>34</v>
      </c>
      <c r="L45" t="s">
        <v>35</v>
      </c>
      <c r="M45" t="s">
        <v>36</v>
      </c>
      <c r="N45" t="s">
        <v>37</v>
      </c>
      <c r="O45" t="s">
        <v>38</v>
      </c>
      <c r="P45" t="s">
        <v>39</v>
      </c>
      <c r="Q45" t="s">
        <v>40</v>
      </c>
      <c r="R45" t="s">
        <v>41</v>
      </c>
      <c r="S45" t="s">
        <v>63</v>
      </c>
      <c r="T45" t="s">
        <v>64</v>
      </c>
      <c r="U45" t="s">
        <v>65</v>
      </c>
      <c r="V45" t="s">
        <v>66</v>
      </c>
      <c r="W45" t="s">
        <v>60</v>
      </c>
      <c r="X45" t="s">
        <v>61</v>
      </c>
      <c r="Y45" t="s">
        <v>62</v>
      </c>
      <c r="Z45" t="s">
        <v>1</v>
      </c>
      <c r="AA45" t="s">
        <v>68</v>
      </c>
      <c r="AB45" t="s">
        <v>67</v>
      </c>
    </row>
    <row r="46" spans="1:29" x14ac:dyDescent="0.2">
      <c r="A46">
        <v>1.1000000000000001</v>
      </c>
      <c r="B46">
        <v>0.9</v>
      </c>
      <c r="C46">
        <v>0.46</v>
      </c>
      <c r="D46">
        <v>0.5</v>
      </c>
      <c r="E46">
        <v>-1.05</v>
      </c>
      <c r="F46">
        <v>-0.87</v>
      </c>
      <c r="G46">
        <v>-0.45</v>
      </c>
      <c r="H46">
        <v>-0.48</v>
      </c>
      <c r="I46">
        <v>0.5</v>
      </c>
      <c r="J46">
        <v>0.04</v>
      </c>
      <c r="K46">
        <f>A46+E46*I46</f>
        <v>0.57500000000000007</v>
      </c>
      <c r="L46">
        <f>B46+F46*I46</f>
        <v>0.46500000000000002</v>
      </c>
      <c r="M46">
        <f>C46+G46*I46</f>
        <v>0.23500000000000001</v>
      </c>
      <c r="N46">
        <f>D46+H46*I46</f>
        <v>0.26</v>
      </c>
      <c r="O46">
        <f>E46*J46</f>
        <v>-4.2000000000000003E-2</v>
      </c>
      <c r="P46">
        <f>F46*J46</f>
        <v>-3.4799999999999998E-2</v>
      </c>
      <c r="Q46">
        <f>G46*J46</f>
        <v>-1.8000000000000002E-2</v>
      </c>
      <c r="R46">
        <f>H46*J46</f>
        <v>-1.9199999999999998E-2</v>
      </c>
      <c r="S46">
        <v>1</v>
      </c>
      <c r="T46">
        <v>1</v>
      </c>
      <c r="U46">
        <f>IF(T46&gt;0, L46*S46+M46*ABS(T46),L46*S46+N46*ABS(T46))</f>
        <v>0.70000000000000007</v>
      </c>
      <c r="V46">
        <f>IF(T46&gt;0, P46*S46+Q46*ABS(T46),P46*S46+R46*ABS(T46))</f>
        <v>-5.28E-2</v>
      </c>
      <c r="W46">
        <f>K46*U46</f>
        <v>0.40250000000000008</v>
      </c>
      <c r="X46">
        <f>K46*V46+U46*O46</f>
        <v>-5.9760000000000008E-2</v>
      </c>
      <c r="Y46">
        <f>O46*V46</f>
        <v>2.2176000000000001E-3</v>
      </c>
      <c r="Z46">
        <v>1989</v>
      </c>
      <c r="AA46">
        <v>0.09</v>
      </c>
      <c r="AB46">
        <f>W46+X46*AA46+Y46*AA46^2</f>
        <v>0.39713956256000005</v>
      </c>
    </row>
    <row r="47" spans="1:29" x14ac:dyDescent="0.2">
      <c r="A47">
        <v>1.1000000000000001</v>
      </c>
      <c r="B47">
        <v>0.9</v>
      </c>
      <c r="C47">
        <v>0.46</v>
      </c>
      <c r="D47">
        <v>0.5</v>
      </c>
      <c r="E47">
        <v>-1.05</v>
      </c>
      <c r="F47">
        <v>-0.87</v>
      </c>
      <c r="G47">
        <v>-0.45</v>
      </c>
      <c r="H47">
        <v>-0.48</v>
      </c>
      <c r="I47">
        <v>0.5</v>
      </c>
      <c r="J47">
        <v>0.04</v>
      </c>
      <c r="K47">
        <f t="shared" ref="K47:K64" si="41">A47+E47*I47</f>
        <v>0.57500000000000007</v>
      </c>
      <c r="L47">
        <f t="shared" ref="L47:L64" si="42">B47+F47*I47</f>
        <v>0.46500000000000002</v>
      </c>
      <c r="M47">
        <f t="shared" ref="M47:M64" si="43">C47+G47*I47</f>
        <v>0.23500000000000001</v>
      </c>
      <c r="N47">
        <f t="shared" ref="N47:N64" si="44">D47+H47*I47</f>
        <v>0.26</v>
      </c>
      <c r="O47">
        <f t="shared" ref="O47:O64" si="45">E47*J47</f>
        <v>-4.2000000000000003E-2</v>
      </c>
      <c r="P47">
        <f t="shared" ref="P47:P64" si="46">F47*J47</f>
        <v>-3.4799999999999998E-2</v>
      </c>
      <c r="Q47">
        <f t="shared" ref="Q47:Q64" si="47">G47*J47</f>
        <v>-1.8000000000000002E-2</v>
      </c>
      <c r="R47">
        <f t="shared" ref="R47:R64" si="48">H47*J47</f>
        <v>-1.9199999999999998E-2</v>
      </c>
      <c r="S47">
        <v>1</v>
      </c>
      <c r="T47">
        <v>1</v>
      </c>
      <c r="U47">
        <f t="shared" ref="U47:U64" si="49">IF(T47&gt;0, L47*S47+M47*ABS(T47),L47*S47+N47*ABS(T47))</f>
        <v>0.70000000000000007</v>
      </c>
      <c r="V47">
        <f t="shared" ref="V47:V64" si="50">IF(T47&gt;0, P47*S47+Q47*ABS(T47),P47*S47+R47*ABS(T47))</f>
        <v>-5.28E-2</v>
      </c>
      <c r="W47">
        <f t="shared" ref="W47:W64" si="51">K47*U47</f>
        <v>0.40250000000000008</v>
      </c>
      <c r="X47">
        <f t="shared" ref="X47:X64" si="52">K47*V47+U47*O47</f>
        <v>-5.9760000000000008E-2</v>
      </c>
      <c r="Y47">
        <f t="shared" ref="Y47:Y64" si="53">O47*V47</f>
        <v>2.2176000000000001E-3</v>
      </c>
      <c r="Z47">
        <v>1991</v>
      </c>
      <c r="AA47">
        <v>0.09</v>
      </c>
      <c r="AB47">
        <f t="shared" ref="AB47:AB64" si="54">W47+X47*AA47+Y47*AA47^2</f>
        <v>0.39713956256000005</v>
      </c>
    </row>
    <row r="48" spans="1:29" x14ac:dyDescent="0.2">
      <c r="A48">
        <v>1.1000000000000001</v>
      </c>
      <c r="B48">
        <v>0.9</v>
      </c>
      <c r="C48">
        <v>0.46</v>
      </c>
      <c r="D48">
        <v>0.5</v>
      </c>
      <c r="E48">
        <v>-1.05</v>
      </c>
      <c r="F48">
        <v>-0.87</v>
      </c>
      <c r="G48">
        <v>-0.45</v>
      </c>
      <c r="H48">
        <v>-0.48</v>
      </c>
      <c r="I48">
        <v>0.5</v>
      </c>
      <c r="J48">
        <v>0.04</v>
      </c>
      <c r="K48">
        <f t="shared" si="41"/>
        <v>0.57500000000000007</v>
      </c>
      <c r="L48">
        <f t="shared" si="42"/>
        <v>0.46500000000000002</v>
      </c>
      <c r="M48">
        <f t="shared" si="43"/>
        <v>0.23500000000000001</v>
      </c>
      <c r="N48">
        <f t="shared" si="44"/>
        <v>0.26</v>
      </c>
      <c r="O48">
        <f t="shared" si="45"/>
        <v>-4.2000000000000003E-2</v>
      </c>
      <c r="P48">
        <f t="shared" si="46"/>
        <v>-3.4799999999999998E-2</v>
      </c>
      <c r="Q48">
        <f t="shared" si="47"/>
        <v>-1.8000000000000002E-2</v>
      </c>
      <c r="R48">
        <f t="shared" si="48"/>
        <v>-1.9199999999999998E-2</v>
      </c>
      <c r="S48">
        <v>1</v>
      </c>
      <c r="T48">
        <v>1</v>
      </c>
      <c r="U48">
        <f t="shared" si="49"/>
        <v>0.70000000000000007</v>
      </c>
      <c r="V48">
        <f t="shared" si="50"/>
        <v>-5.28E-2</v>
      </c>
      <c r="W48">
        <f t="shared" si="51"/>
        <v>0.40250000000000008</v>
      </c>
      <c r="X48">
        <f t="shared" si="52"/>
        <v>-5.9760000000000008E-2</v>
      </c>
      <c r="Y48">
        <f t="shared" si="53"/>
        <v>2.2176000000000001E-3</v>
      </c>
      <c r="Z48">
        <v>1993</v>
      </c>
      <c r="AA48">
        <v>-1</v>
      </c>
      <c r="AB48">
        <f t="shared" si="54"/>
        <v>0.4644776000000001</v>
      </c>
    </row>
    <row r="49" spans="1:29" x14ac:dyDescent="0.2">
      <c r="A49">
        <v>1.1000000000000001</v>
      </c>
      <c r="B49">
        <v>0.9</v>
      </c>
      <c r="C49">
        <v>0.46</v>
      </c>
      <c r="D49">
        <v>0.5</v>
      </c>
      <c r="E49">
        <v>-1.05</v>
      </c>
      <c r="F49">
        <v>-0.87</v>
      </c>
      <c r="G49">
        <v>-0.45</v>
      </c>
      <c r="H49">
        <v>-0.48</v>
      </c>
      <c r="I49">
        <v>0.5</v>
      </c>
      <c r="J49">
        <v>0.04</v>
      </c>
      <c r="K49">
        <f t="shared" si="41"/>
        <v>0.57500000000000007</v>
      </c>
      <c r="L49">
        <f t="shared" si="42"/>
        <v>0.46500000000000002</v>
      </c>
      <c r="M49">
        <f t="shared" si="43"/>
        <v>0.23500000000000001</v>
      </c>
      <c r="N49">
        <f t="shared" si="44"/>
        <v>0.26</v>
      </c>
      <c r="O49">
        <f t="shared" si="45"/>
        <v>-4.2000000000000003E-2</v>
      </c>
      <c r="P49">
        <f t="shared" si="46"/>
        <v>-3.4799999999999998E-2</v>
      </c>
      <c r="Q49">
        <f t="shared" si="47"/>
        <v>-1.8000000000000002E-2</v>
      </c>
      <c r="R49">
        <f t="shared" si="48"/>
        <v>-1.9199999999999998E-2</v>
      </c>
      <c r="S49">
        <v>1</v>
      </c>
      <c r="T49">
        <v>1</v>
      </c>
      <c r="U49">
        <f t="shared" si="49"/>
        <v>0.70000000000000007</v>
      </c>
      <c r="V49">
        <f t="shared" si="50"/>
        <v>-5.28E-2</v>
      </c>
      <c r="W49">
        <f t="shared" si="51"/>
        <v>0.40250000000000008</v>
      </c>
      <c r="X49">
        <f t="shared" si="52"/>
        <v>-5.9760000000000008E-2</v>
      </c>
      <c r="Y49">
        <f t="shared" si="53"/>
        <v>2.2176000000000001E-3</v>
      </c>
      <c r="Z49">
        <v>1995</v>
      </c>
      <c r="AA49">
        <v>-0.09</v>
      </c>
      <c r="AB49">
        <f t="shared" si="54"/>
        <v>0.40789636256000006</v>
      </c>
    </row>
    <row r="50" spans="1:29" x14ac:dyDescent="0.2">
      <c r="A50">
        <v>1.1000000000000001</v>
      </c>
      <c r="B50">
        <v>0.9</v>
      </c>
      <c r="C50">
        <v>0.46</v>
      </c>
      <c r="D50">
        <v>0.5</v>
      </c>
      <c r="E50">
        <v>-1.05</v>
      </c>
      <c r="F50">
        <v>-0.87</v>
      </c>
      <c r="G50">
        <v>-0.45</v>
      </c>
      <c r="H50">
        <v>-0.48</v>
      </c>
      <c r="I50">
        <v>0.5</v>
      </c>
      <c r="J50">
        <v>0.04</v>
      </c>
      <c r="K50">
        <f t="shared" si="41"/>
        <v>0.57500000000000007</v>
      </c>
      <c r="L50">
        <f t="shared" si="42"/>
        <v>0.46500000000000002</v>
      </c>
      <c r="M50">
        <f t="shared" si="43"/>
        <v>0.23500000000000001</v>
      </c>
      <c r="N50">
        <f t="shared" si="44"/>
        <v>0.26</v>
      </c>
      <c r="O50">
        <f t="shared" si="45"/>
        <v>-4.2000000000000003E-2</v>
      </c>
      <c r="P50">
        <f t="shared" si="46"/>
        <v>-3.4799999999999998E-2</v>
      </c>
      <c r="Q50">
        <f t="shared" si="47"/>
        <v>-1.8000000000000002E-2</v>
      </c>
      <c r="R50">
        <f t="shared" si="48"/>
        <v>-1.9199999999999998E-2</v>
      </c>
      <c r="S50">
        <v>1</v>
      </c>
      <c r="T50">
        <v>1</v>
      </c>
      <c r="U50">
        <f t="shared" si="49"/>
        <v>0.70000000000000007</v>
      </c>
      <c r="V50">
        <f t="shared" si="50"/>
        <v>-5.28E-2</v>
      </c>
      <c r="W50">
        <f t="shared" si="51"/>
        <v>0.40250000000000008</v>
      </c>
      <c r="X50">
        <f t="shared" si="52"/>
        <v>-5.9760000000000008E-2</v>
      </c>
      <c r="Y50">
        <f t="shared" si="53"/>
        <v>2.2176000000000001E-3</v>
      </c>
      <c r="Z50">
        <v>1997</v>
      </c>
      <c r="AA50">
        <v>-0.09</v>
      </c>
      <c r="AB50">
        <f t="shared" si="54"/>
        <v>0.40789636256000006</v>
      </c>
    </row>
    <row r="51" spans="1:29" x14ac:dyDescent="0.2">
      <c r="A51">
        <v>1.1000000000000001</v>
      </c>
      <c r="B51">
        <v>0.9</v>
      </c>
      <c r="C51">
        <v>0.46</v>
      </c>
      <c r="D51">
        <v>0.5</v>
      </c>
      <c r="E51">
        <v>-1.05</v>
      </c>
      <c r="F51">
        <v>-0.87</v>
      </c>
      <c r="G51">
        <v>-0.45</v>
      </c>
      <c r="H51">
        <v>-0.48</v>
      </c>
      <c r="I51">
        <v>0.5</v>
      </c>
      <c r="J51">
        <v>0.04</v>
      </c>
      <c r="K51">
        <f t="shared" si="41"/>
        <v>0.57500000000000007</v>
      </c>
      <c r="L51">
        <f t="shared" si="42"/>
        <v>0.46500000000000002</v>
      </c>
      <c r="M51">
        <f t="shared" si="43"/>
        <v>0.23500000000000001</v>
      </c>
      <c r="N51">
        <f t="shared" si="44"/>
        <v>0.26</v>
      </c>
      <c r="O51">
        <f t="shared" si="45"/>
        <v>-4.2000000000000003E-2</v>
      </c>
      <c r="P51">
        <f t="shared" si="46"/>
        <v>-3.4799999999999998E-2</v>
      </c>
      <c r="Q51">
        <f t="shared" si="47"/>
        <v>-1.8000000000000002E-2</v>
      </c>
      <c r="R51">
        <f t="shared" si="48"/>
        <v>-1.9199999999999998E-2</v>
      </c>
      <c r="S51">
        <v>1</v>
      </c>
      <c r="T51">
        <v>1</v>
      </c>
      <c r="U51">
        <f t="shared" si="49"/>
        <v>0.70000000000000007</v>
      </c>
      <c r="V51">
        <f t="shared" si="50"/>
        <v>-5.28E-2</v>
      </c>
      <c r="W51">
        <f t="shared" si="51"/>
        <v>0.40250000000000008</v>
      </c>
      <c r="X51">
        <f t="shared" si="52"/>
        <v>-5.9760000000000008E-2</v>
      </c>
      <c r="Y51">
        <f t="shared" si="53"/>
        <v>2.2176000000000001E-3</v>
      </c>
      <c r="Z51">
        <v>1999</v>
      </c>
      <c r="AA51">
        <v>-0.09</v>
      </c>
      <c r="AB51">
        <f t="shared" si="54"/>
        <v>0.40789636256000006</v>
      </c>
    </row>
    <row r="52" spans="1:29" x14ac:dyDescent="0.2">
      <c r="A52">
        <v>1.1000000000000001</v>
      </c>
      <c r="B52">
        <v>0.9</v>
      </c>
      <c r="C52">
        <v>0.46</v>
      </c>
      <c r="D52">
        <v>0.5</v>
      </c>
      <c r="E52">
        <v>-1.05</v>
      </c>
      <c r="F52">
        <v>-0.87</v>
      </c>
      <c r="G52">
        <v>-0.45</v>
      </c>
      <c r="H52">
        <v>-0.48</v>
      </c>
      <c r="I52">
        <v>0.5</v>
      </c>
      <c r="J52">
        <v>0.04</v>
      </c>
      <c r="K52">
        <f t="shared" si="41"/>
        <v>0.57500000000000007</v>
      </c>
      <c r="L52">
        <f t="shared" si="42"/>
        <v>0.46500000000000002</v>
      </c>
      <c r="M52">
        <f t="shared" si="43"/>
        <v>0.23500000000000001</v>
      </c>
      <c r="N52">
        <f t="shared" si="44"/>
        <v>0.26</v>
      </c>
      <c r="O52">
        <f t="shared" si="45"/>
        <v>-4.2000000000000003E-2</v>
      </c>
      <c r="P52">
        <f t="shared" si="46"/>
        <v>-3.4799999999999998E-2</v>
      </c>
      <c r="Q52">
        <f t="shared" si="47"/>
        <v>-1.8000000000000002E-2</v>
      </c>
      <c r="R52">
        <f t="shared" si="48"/>
        <v>-1.9199999999999998E-2</v>
      </c>
      <c r="S52">
        <v>1</v>
      </c>
      <c r="T52">
        <v>1</v>
      </c>
      <c r="U52">
        <f t="shared" si="49"/>
        <v>0.70000000000000007</v>
      </c>
      <c r="V52">
        <f t="shared" si="50"/>
        <v>-5.28E-2</v>
      </c>
      <c r="W52">
        <f t="shared" si="51"/>
        <v>0.40250000000000008</v>
      </c>
      <c r="X52">
        <f t="shared" si="52"/>
        <v>-5.9760000000000008E-2</v>
      </c>
      <c r="Y52">
        <f t="shared" si="53"/>
        <v>2.2176000000000001E-3</v>
      </c>
      <c r="Z52">
        <v>2001</v>
      </c>
      <c r="AA52">
        <v>0.82</v>
      </c>
      <c r="AB52">
        <f t="shared" si="54"/>
        <v>0.35498791424000004</v>
      </c>
    </row>
    <row r="53" spans="1:29" x14ac:dyDescent="0.2">
      <c r="A53">
        <v>1.1000000000000001</v>
      </c>
      <c r="B53">
        <v>0.9</v>
      </c>
      <c r="C53">
        <v>0.46</v>
      </c>
      <c r="D53">
        <v>0.5</v>
      </c>
      <c r="E53">
        <v>-1.05</v>
      </c>
      <c r="F53">
        <v>-0.87</v>
      </c>
      <c r="G53">
        <v>-0.45</v>
      </c>
      <c r="H53">
        <v>-0.48</v>
      </c>
      <c r="I53">
        <v>0.5</v>
      </c>
      <c r="J53">
        <v>0.04</v>
      </c>
      <c r="K53">
        <f t="shared" si="41"/>
        <v>0.57500000000000007</v>
      </c>
      <c r="L53">
        <f t="shared" si="42"/>
        <v>0.46500000000000002</v>
      </c>
      <c r="M53">
        <f t="shared" si="43"/>
        <v>0.23500000000000001</v>
      </c>
      <c r="N53">
        <f t="shared" si="44"/>
        <v>0.26</v>
      </c>
      <c r="O53">
        <f t="shared" si="45"/>
        <v>-4.2000000000000003E-2</v>
      </c>
      <c r="P53">
        <f t="shared" si="46"/>
        <v>-3.4799999999999998E-2</v>
      </c>
      <c r="Q53">
        <f t="shared" si="47"/>
        <v>-1.8000000000000002E-2</v>
      </c>
      <c r="R53">
        <f t="shared" si="48"/>
        <v>-1.9199999999999998E-2</v>
      </c>
      <c r="S53">
        <v>1</v>
      </c>
      <c r="T53">
        <v>1</v>
      </c>
      <c r="U53">
        <f t="shared" si="49"/>
        <v>0.70000000000000007</v>
      </c>
      <c r="V53">
        <f t="shared" si="50"/>
        <v>-5.28E-2</v>
      </c>
      <c r="W53">
        <f t="shared" si="51"/>
        <v>0.40250000000000008</v>
      </c>
      <c r="X53">
        <f t="shared" si="52"/>
        <v>-5.9760000000000008E-2</v>
      </c>
      <c r="Y53">
        <f t="shared" si="53"/>
        <v>2.2176000000000001E-3</v>
      </c>
      <c r="Z53">
        <v>2003</v>
      </c>
      <c r="AA53">
        <v>1</v>
      </c>
      <c r="AB53">
        <f t="shared" si="54"/>
        <v>0.34495760000000003</v>
      </c>
    </row>
    <row r="54" spans="1:29" x14ac:dyDescent="0.2">
      <c r="A54">
        <v>1.1000000000000001</v>
      </c>
      <c r="B54">
        <v>0.9</v>
      </c>
      <c r="C54">
        <v>0.46</v>
      </c>
      <c r="D54">
        <v>0.5</v>
      </c>
      <c r="E54">
        <v>-1.05</v>
      </c>
      <c r="F54">
        <v>-0.87</v>
      </c>
      <c r="G54">
        <v>-0.45</v>
      </c>
      <c r="H54">
        <v>-0.48</v>
      </c>
      <c r="I54">
        <v>0.5</v>
      </c>
      <c r="J54">
        <v>0.04</v>
      </c>
      <c r="K54">
        <f t="shared" si="41"/>
        <v>0.57500000000000007</v>
      </c>
      <c r="L54">
        <f t="shared" si="42"/>
        <v>0.46500000000000002</v>
      </c>
      <c r="M54">
        <f t="shared" si="43"/>
        <v>0.23500000000000001</v>
      </c>
      <c r="N54">
        <f t="shared" si="44"/>
        <v>0.26</v>
      </c>
      <c r="O54">
        <f t="shared" si="45"/>
        <v>-4.2000000000000003E-2</v>
      </c>
      <c r="P54">
        <f t="shared" si="46"/>
        <v>-3.4799999999999998E-2</v>
      </c>
      <c r="Q54">
        <f t="shared" si="47"/>
        <v>-1.8000000000000002E-2</v>
      </c>
      <c r="R54">
        <f t="shared" si="48"/>
        <v>-1.9199999999999998E-2</v>
      </c>
      <c r="S54">
        <v>1</v>
      </c>
      <c r="T54">
        <v>1</v>
      </c>
      <c r="U54">
        <f t="shared" si="49"/>
        <v>0.70000000000000007</v>
      </c>
      <c r="V54">
        <f t="shared" si="50"/>
        <v>-5.28E-2</v>
      </c>
      <c r="W54">
        <f t="shared" si="51"/>
        <v>0.40250000000000008</v>
      </c>
      <c r="X54">
        <f t="shared" si="52"/>
        <v>-5.9760000000000008E-2</v>
      </c>
      <c r="Y54">
        <f t="shared" si="53"/>
        <v>2.2176000000000001E-3</v>
      </c>
      <c r="Z54">
        <v>2005</v>
      </c>
      <c r="AA54">
        <v>1</v>
      </c>
      <c r="AB54">
        <f t="shared" si="54"/>
        <v>0.34495760000000003</v>
      </c>
    </row>
    <row r="55" spans="1:29" x14ac:dyDescent="0.2">
      <c r="A55">
        <v>1.1000000000000001</v>
      </c>
      <c r="B55">
        <v>0.9</v>
      </c>
      <c r="C55">
        <v>0.46</v>
      </c>
      <c r="D55">
        <v>0.5</v>
      </c>
      <c r="E55">
        <v>-1.05</v>
      </c>
      <c r="F55">
        <v>-0.87</v>
      </c>
      <c r="G55">
        <v>-0.45</v>
      </c>
      <c r="H55">
        <v>-0.48</v>
      </c>
      <c r="I55">
        <v>0.5</v>
      </c>
      <c r="J55">
        <v>0.04</v>
      </c>
      <c r="K55">
        <f t="shared" si="41"/>
        <v>0.57500000000000007</v>
      </c>
      <c r="L55">
        <f t="shared" si="42"/>
        <v>0.46500000000000002</v>
      </c>
      <c r="M55">
        <f t="shared" si="43"/>
        <v>0.23500000000000001</v>
      </c>
      <c r="N55">
        <f t="shared" si="44"/>
        <v>0.26</v>
      </c>
      <c r="O55">
        <f t="shared" si="45"/>
        <v>-4.2000000000000003E-2</v>
      </c>
      <c r="P55">
        <f t="shared" si="46"/>
        <v>-3.4799999999999998E-2</v>
      </c>
      <c r="Q55">
        <f t="shared" si="47"/>
        <v>-1.8000000000000002E-2</v>
      </c>
      <c r="R55">
        <f t="shared" si="48"/>
        <v>-1.9199999999999998E-2</v>
      </c>
      <c r="S55">
        <v>1</v>
      </c>
      <c r="T55">
        <v>1</v>
      </c>
      <c r="U55">
        <f t="shared" si="49"/>
        <v>0.70000000000000007</v>
      </c>
      <c r="V55">
        <f t="shared" si="50"/>
        <v>-5.28E-2</v>
      </c>
      <c r="W55">
        <f t="shared" si="51"/>
        <v>0.40250000000000008</v>
      </c>
      <c r="X55">
        <f t="shared" si="52"/>
        <v>-5.9760000000000008E-2</v>
      </c>
      <c r="Y55">
        <f t="shared" si="53"/>
        <v>2.2176000000000001E-3</v>
      </c>
      <c r="Z55">
        <v>2007</v>
      </c>
      <c r="AA55">
        <v>0.27</v>
      </c>
      <c r="AB55">
        <f t="shared" si="54"/>
        <v>0.38652646304000005</v>
      </c>
    </row>
    <row r="56" spans="1:29" x14ac:dyDescent="0.2">
      <c r="A56">
        <v>1.1000000000000001</v>
      </c>
      <c r="B56">
        <v>0.9</v>
      </c>
      <c r="C56">
        <v>0.46</v>
      </c>
      <c r="D56">
        <v>0.5</v>
      </c>
      <c r="E56">
        <v>-1.05</v>
      </c>
      <c r="F56">
        <v>-0.87</v>
      </c>
      <c r="G56">
        <v>-0.45</v>
      </c>
      <c r="H56">
        <v>-0.48</v>
      </c>
      <c r="I56">
        <v>0.5</v>
      </c>
      <c r="J56">
        <v>0.04</v>
      </c>
      <c r="K56">
        <f t="shared" si="41"/>
        <v>0.57500000000000007</v>
      </c>
      <c r="L56">
        <f t="shared" si="42"/>
        <v>0.46500000000000002</v>
      </c>
      <c r="M56">
        <f t="shared" si="43"/>
        <v>0.23500000000000001</v>
      </c>
      <c r="N56">
        <f t="shared" si="44"/>
        <v>0.26</v>
      </c>
      <c r="O56">
        <f t="shared" si="45"/>
        <v>-4.2000000000000003E-2</v>
      </c>
      <c r="P56">
        <f t="shared" si="46"/>
        <v>-3.4799999999999998E-2</v>
      </c>
      <c r="Q56">
        <f t="shared" si="47"/>
        <v>-1.8000000000000002E-2</v>
      </c>
      <c r="R56">
        <f t="shared" si="48"/>
        <v>-1.9199999999999998E-2</v>
      </c>
      <c r="S56">
        <v>1</v>
      </c>
      <c r="T56">
        <v>1</v>
      </c>
      <c r="U56">
        <f t="shared" si="49"/>
        <v>0.70000000000000007</v>
      </c>
      <c r="V56">
        <f t="shared" si="50"/>
        <v>-5.28E-2</v>
      </c>
      <c r="W56">
        <f t="shared" si="51"/>
        <v>0.40250000000000008</v>
      </c>
      <c r="X56">
        <f t="shared" si="52"/>
        <v>-5.9760000000000008E-2</v>
      </c>
      <c r="Y56">
        <f t="shared" si="53"/>
        <v>2.2176000000000001E-3</v>
      </c>
      <c r="Z56">
        <v>2009</v>
      </c>
      <c r="AA56">
        <v>-1</v>
      </c>
      <c r="AB56">
        <f t="shared" si="54"/>
        <v>0.4644776000000001</v>
      </c>
    </row>
    <row r="57" spans="1:29" x14ac:dyDescent="0.2">
      <c r="A57">
        <v>1.1000000000000001</v>
      </c>
      <c r="B57">
        <v>0.9</v>
      </c>
      <c r="C57">
        <v>0.46</v>
      </c>
      <c r="D57">
        <v>0.5</v>
      </c>
      <c r="E57">
        <v>-1.05</v>
      </c>
      <c r="F57">
        <v>-0.87</v>
      </c>
      <c r="G57">
        <v>-0.45</v>
      </c>
      <c r="H57">
        <v>-0.48</v>
      </c>
      <c r="I57">
        <v>0.5</v>
      </c>
      <c r="J57">
        <v>0.04</v>
      </c>
      <c r="K57">
        <f t="shared" si="41"/>
        <v>0.57500000000000007</v>
      </c>
      <c r="L57">
        <f t="shared" si="42"/>
        <v>0.46500000000000002</v>
      </c>
      <c r="M57">
        <f t="shared" si="43"/>
        <v>0.23500000000000001</v>
      </c>
      <c r="N57">
        <f t="shared" si="44"/>
        <v>0.26</v>
      </c>
      <c r="O57">
        <f t="shared" si="45"/>
        <v>-4.2000000000000003E-2</v>
      </c>
      <c r="P57">
        <f t="shared" si="46"/>
        <v>-3.4799999999999998E-2</v>
      </c>
      <c r="Q57">
        <f t="shared" si="47"/>
        <v>-1.8000000000000002E-2</v>
      </c>
      <c r="R57">
        <f t="shared" si="48"/>
        <v>-1.9199999999999998E-2</v>
      </c>
      <c r="S57">
        <v>1</v>
      </c>
      <c r="T57">
        <v>1</v>
      </c>
      <c r="U57">
        <f t="shared" si="49"/>
        <v>0.70000000000000007</v>
      </c>
      <c r="V57">
        <f t="shared" si="50"/>
        <v>-5.28E-2</v>
      </c>
      <c r="W57">
        <f t="shared" si="51"/>
        <v>0.40250000000000008</v>
      </c>
      <c r="X57">
        <f t="shared" si="52"/>
        <v>-5.9760000000000008E-2</v>
      </c>
      <c r="Y57">
        <f t="shared" si="53"/>
        <v>2.2176000000000001E-3</v>
      </c>
      <c r="Z57">
        <v>2011</v>
      </c>
      <c r="AA57">
        <v>-0.45</v>
      </c>
      <c r="AB57">
        <f t="shared" si="54"/>
        <v>0.42984106400000011</v>
      </c>
    </row>
    <row r="58" spans="1:29" x14ac:dyDescent="0.2">
      <c r="A58">
        <v>1.1000000000000001</v>
      </c>
      <c r="B58">
        <v>0.9</v>
      </c>
      <c r="C58">
        <v>0.46</v>
      </c>
      <c r="D58">
        <v>0.5</v>
      </c>
      <c r="E58">
        <v>-1.05</v>
      </c>
      <c r="F58">
        <v>-0.87</v>
      </c>
      <c r="G58">
        <v>-0.45</v>
      </c>
      <c r="H58">
        <v>-0.48</v>
      </c>
      <c r="I58">
        <v>0.5</v>
      </c>
      <c r="J58">
        <v>0.04</v>
      </c>
      <c r="K58">
        <f t="shared" si="41"/>
        <v>0.57500000000000007</v>
      </c>
      <c r="L58">
        <f t="shared" si="42"/>
        <v>0.46500000000000002</v>
      </c>
      <c r="M58">
        <f t="shared" si="43"/>
        <v>0.23500000000000001</v>
      </c>
      <c r="N58">
        <f t="shared" si="44"/>
        <v>0.26</v>
      </c>
      <c r="O58">
        <f t="shared" si="45"/>
        <v>-4.2000000000000003E-2</v>
      </c>
      <c r="P58">
        <f t="shared" si="46"/>
        <v>-3.4799999999999998E-2</v>
      </c>
      <c r="Q58">
        <f t="shared" si="47"/>
        <v>-1.8000000000000002E-2</v>
      </c>
      <c r="R58">
        <f t="shared" si="48"/>
        <v>-1.9199999999999998E-2</v>
      </c>
      <c r="S58">
        <v>1</v>
      </c>
      <c r="T58">
        <v>1</v>
      </c>
      <c r="U58">
        <f t="shared" si="49"/>
        <v>0.70000000000000007</v>
      </c>
      <c r="V58">
        <f t="shared" si="50"/>
        <v>-5.28E-2</v>
      </c>
      <c r="W58">
        <f t="shared" si="51"/>
        <v>0.40250000000000008</v>
      </c>
      <c r="X58">
        <f t="shared" si="52"/>
        <v>-5.9760000000000008E-2</v>
      </c>
      <c r="Y58">
        <f t="shared" si="53"/>
        <v>2.2176000000000001E-3</v>
      </c>
      <c r="Z58">
        <v>2013</v>
      </c>
      <c r="AA58">
        <v>-0.45</v>
      </c>
      <c r="AB58">
        <f t="shared" si="54"/>
        <v>0.42984106400000011</v>
      </c>
    </row>
    <row r="59" spans="1:29" x14ac:dyDescent="0.2">
      <c r="A59">
        <v>1.1000000000000001</v>
      </c>
      <c r="B59">
        <v>0.9</v>
      </c>
      <c r="C59">
        <v>0.46</v>
      </c>
      <c r="D59">
        <v>0.5</v>
      </c>
      <c r="E59">
        <v>-1.05</v>
      </c>
      <c r="F59">
        <v>-0.87</v>
      </c>
      <c r="G59">
        <v>-0.45</v>
      </c>
      <c r="H59">
        <v>-0.48</v>
      </c>
      <c r="I59">
        <v>0.5</v>
      </c>
      <c r="J59">
        <v>0.04</v>
      </c>
      <c r="K59">
        <f t="shared" si="41"/>
        <v>0.57500000000000007</v>
      </c>
      <c r="L59">
        <f t="shared" si="42"/>
        <v>0.46500000000000002</v>
      </c>
      <c r="M59">
        <f t="shared" si="43"/>
        <v>0.23500000000000001</v>
      </c>
      <c r="N59">
        <f t="shared" si="44"/>
        <v>0.26</v>
      </c>
      <c r="O59">
        <f t="shared" si="45"/>
        <v>-4.2000000000000003E-2</v>
      </c>
      <c r="P59">
        <f t="shared" si="46"/>
        <v>-3.4799999999999998E-2</v>
      </c>
      <c r="Q59">
        <f t="shared" si="47"/>
        <v>-1.8000000000000002E-2</v>
      </c>
      <c r="R59">
        <f t="shared" si="48"/>
        <v>-1.9199999999999998E-2</v>
      </c>
      <c r="S59">
        <v>1</v>
      </c>
      <c r="T59">
        <v>1</v>
      </c>
      <c r="U59">
        <f t="shared" si="49"/>
        <v>0.70000000000000007</v>
      </c>
      <c r="V59">
        <f t="shared" si="50"/>
        <v>-5.28E-2</v>
      </c>
      <c r="W59">
        <f t="shared" si="51"/>
        <v>0.40250000000000008</v>
      </c>
      <c r="X59">
        <f t="shared" si="52"/>
        <v>-5.9760000000000008E-2</v>
      </c>
      <c r="Y59">
        <f t="shared" si="53"/>
        <v>2.2176000000000001E-3</v>
      </c>
      <c r="Z59">
        <v>2015</v>
      </c>
      <c r="AA59">
        <v>-0.09</v>
      </c>
      <c r="AB59">
        <f t="shared" si="54"/>
        <v>0.40789636256000006</v>
      </c>
    </row>
    <row r="60" spans="1:29" x14ac:dyDescent="0.2">
      <c r="A60">
        <v>1.1000000000000001</v>
      </c>
      <c r="B60">
        <v>0.9</v>
      </c>
      <c r="C60">
        <v>0.46</v>
      </c>
      <c r="D60">
        <v>0.5</v>
      </c>
      <c r="E60">
        <v>-1.05</v>
      </c>
      <c r="F60">
        <v>-0.87</v>
      </c>
      <c r="G60">
        <v>-0.45</v>
      </c>
      <c r="H60">
        <v>-0.48</v>
      </c>
      <c r="I60">
        <v>0.5</v>
      </c>
      <c r="J60">
        <v>0.04</v>
      </c>
      <c r="K60">
        <f t="shared" si="41"/>
        <v>0.57500000000000007</v>
      </c>
      <c r="L60">
        <f t="shared" si="42"/>
        <v>0.46500000000000002</v>
      </c>
      <c r="M60">
        <f t="shared" si="43"/>
        <v>0.23500000000000001</v>
      </c>
      <c r="N60">
        <f t="shared" si="44"/>
        <v>0.26</v>
      </c>
      <c r="O60">
        <f t="shared" si="45"/>
        <v>-4.2000000000000003E-2</v>
      </c>
      <c r="P60">
        <f t="shared" si="46"/>
        <v>-3.4799999999999998E-2</v>
      </c>
      <c r="Q60">
        <f t="shared" si="47"/>
        <v>-1.8000000000000002E-2</v>
      </c>
      <c r="R60">
        <f t="shared" si="48"/>
        <v>-1.9199999999999998E-2</v>
      </c>
      <c r="S60">
        <v>1</v>
      </c>
      <c r="T60">
        <v>1</v>
      </c>
      <c r="U60">
        <f t="shared" si="49"/>
        <v>0.70000000000000007</v>
      </c>
      <c r="V60">
        <f t="shared" si="50"/>
        <v>-5.28E-2</v>
      </c>
      <c r="W60">
        <f t="shared" si="51"/>
        <v>0.40250000000000008</v>
      </c>
      <c r="X60">
        <f t="shared" si="52"/>
        <v>-5.9760000000000008E-2</v>
      </c>
      <c r="Y60">
        <f t="shared" si="53"/>
        <v>2.2176000000000001E-3</v>
      </c>
      <c r="Z60">
        <v>2017</v>
      </c>
      <c r="AA60">
        <v>1.2</v>
      </c>
      <c r="AB60">
        <f t="shared" si="54"/>
        <v>0.33398134400000007</v>
      </c>
    </row>
    <row r="61" spans="1:29" x14ac:dyDescent="0.2">
      <c r="A61">
        <v>1.1000000000000001</v>
      </c>
      <c r="B61">
        <v>0.9</v>
      </c>
      <c r="C61">
        <v>0.46</v>
      </c>
      <c r="D61">
        <v>0.5</v>
      </c>
      <c r="E61">
        <v>-1.05</v>
      </c>
      <c r="F61">
        <v>-0.87</v>
      </c>
      <c r="G61">
        <v>-0.45</v>
      </c>
      <c r="H61">
        <v>-0.48</v>
      </c>
      <c r="I61">
        <v>0.5</v>
      </c>
      <c r="J61">
        <v>0.04</v>
      </c>
      <c r="K61">
        <f t="shared" si="41"/>
        <v>0.57500000000000007</v>
      </c>
      <c r="L61">
        <f t="shared" si="42"/>
        <v>0.46500000000000002</v>
      </c>
      <c r="M61">
        <f t="shared" si="43"/>
        <v>0.23500000000000001</v>
      </c>
      <c r="N61">
        <f t="shared" si="44"/>
        <v>0.26</v>
      </c>
      <c r="O61">
        <f t="shared" si="45"/>
        <v>-4.2000000000000003E-2</v>
      </c>
      <c r="P61">
        <f t="shared" si="46"/>
        <v>-3.4799999999999998E-2</v>
      </c>
      <c r="Q61">
        <f t="shared" si="47"/>
        <v>-1.8000000000000002E-2</v>
      </c>
      <c r="R61">
        <f t="shared" si="48"/>
        <v>-1.9199999999999998E-2</v>
      </c>
      <c r="S61">
        <v>1</v>
      </c>
      <c r="T61">
        <v>1</v>
      </c>
      <c r="U61">
        <f t="shared" si="49"/>
        <v>0.70000000000000007</v>
      </c>
      <c r="V61">
        <f t="shared" si="50"/>
        <v>-5.28E-2</v>
      </c>
      <c r="W61">
        <f t="shared" si="51"/>
        <v>0.40250000000000008</v>
      </c>
      <c r="X61">
        <f t="shared" si="52"/>
        <v>-5.9760000000000008E-2</v>
      </c>
      <c r="Y61">
        <f t="shared" si="53"/>
        <v>2.2176000000000001E-3</v>
      </c>
      <c r="Z61">
        <v>2019</v>
      </c>
      <c r="AA61">
        <v>0.65</v>
      </c>
      <c r="AB61">
        <f t="shared" si="54"/>
        <v>0.36459293600000009</v>
      </c>
    </row>
    <row r="62" spans="1:29" x14ac:dyDescent="0.2">
      <c r="A62">
        <v>1.1000000000000001</v>
      </c>
      <c r="B62">
        <v>0.9</v>
      </c>
      <c r="C62">
        <v>0.46</v>
      </c>
      <c r="D62">
        <v>0.5</v>
      </c>
      <c r="E62">
        <v>-1.05</v>
      </c>
      <c r="F62">
        <v>-0.87</v>
      </c>
      <c r="G62">
        <v>-0.45</v>
      </c>
      <c r="H62">
        <v>-0.48</v>
      </c>
      <c r="I62">
        <v>0.5</v>
      </c>
      <c r="J62">
        <v>0.04</v>
      </c>
      <c r="K62">
        <f t="shared" si="41"/>
        <v>0.57500000000000007</v>
      </c>
      <c r="L62">
        <f t="shared" si="42"/>
        <v>0.46500000000000002</v>
      </c>
      <c r="M62">
        <f t="shared" si="43"/>
        <v>0.23500000000000001</v>
      </c>
      <c r="N62">
        <f t="shared" si="44"/>
        <v>0.26</v>
      </c>
      <c r="O62">
        <f t="shared" si="45"/>
        <v>-4.2000000000000003E-2</v>
      </c>
      <c r="P62">
        <f t="shared" si="46"/>
        <v>-3.4799999999999998E-2</v>
      </c>
      <c r="Q62">
        <f t="shared" si="47"/>
        <v>-1.8000000000000002E-2</v>
      </c>
      <c r="R62">
        <f t="shared" si="48"/>
        <v>-1.9199999999999998E-2</v>
      </c>
      <c r="S62">
        <v>1</v>
      </c>
      <c r="T62">
        <v>1</v>
      </c>
      <c r="U62">
        <f t="shared" si="49"/>
        <v>0.70000000000000007</v>
      </c>
      <c r="V62">
        <f t="shared" si="50"/>
        <v>-5.28E-2</v>
      </c>
      <c r="W62">
        <f t="shared" si="51"/>
        <v>0.40250000000000008</v>
      </c>
      <c r="X62">
        <f t="shared" si="52"/>
        <v>-5.9760000000000008E-2</v>
      </c>
      <c r="Y62">
        <f t="shared" si="53"/>
        <v>2.2176000000000001E-3</v>
      </c>
      <c r="Z62">
        <v>2021</v>
      </c>
      <c r="AA62">
        <v>-0.64</v>
      </c>
      <c r="AB62">
        <f t="shared" si="54"/>
        <v>0.44165472896000008</v>
      </c>
    </row>
    <row r="63" spans="1:29" x14ac:dyDescent="0.2">
      <c r="A63">
        <v>1.1000000000000001</v>
      </c>
      <c r="B63">
        <v>0.9</v>
      </c>
      <c r="C63">
        <v>0.46</v>
      </c>
      <c r="D63">
        <v>0.5</v>
      </c>
      <c r="E63">
        <v>-1.05</v>
      </c>
      <c r="F63">
        <v>-0.87</v>
      </c>
      <c r="G63">
        <v>-0.45</v>
      </c>
      <c r="H63">
        <v>-0.48</v>
      </c>
      <c r="I63">
        <v>0.5</v>
      </c>
      <c r="J63">
        <v>0.04</v>
      </c>
      <c r="K63">
        <f t="shared" si="41"/>
        <v>0.57500000000000007</v>
      </c>
      <c r="L63">
        <f t="shared" si="42"/>
        <v>0.46500000000000002</v>
      </c>
      <c r="M63">
        <f t="shared" si="43"/>
        <v>0.23500000000000001</v>
      </c>
      <c r="N63">
        <f t="shared" si="44"/>
        <v>0.26</v>
      </c>
      <c r="O63">
        <f t="shared" si="45"/>
        <v>-4.2000000000000003E-2</v>
      </c>
      <c r="P63">
        <f t="shared" si="46"/>
        <v>-3.4799999999999998E-2</v>
      </c>
      <c r="Q63">
        <f t="shared" si="47"/>
        <v>-1.8000000000000002E-2</v>
      </c>
      <c r="R63">
        <f t="shared" si="48"/>
        <v>-1.9199999999999998E-2</v>
      </c>
      <c r="S63">
        <v>1</v>
      </c>
      <c r="T63">
        <v>1</v>
      </c>
      <c r="U63">
        <f t="shared" si="49"/>
        <v>0.70000000000000007</v>
      </c>
      <c r="V63">
        <f t="shared" si="50"/>
        <v>-5.28E-2</v>
      </c>
      <c r="W63">
        <f t="shared" si="51"/>
        <v>0.40250000000000008</v>
      </c>
      <c r="X63">
        <f t="shared" si="52"/>
        <v>-5.9760000000000008E-2</v>
      </c>
      <c r="Y63">
        <f t="shared" si="53"/>
        <v>2.2176000000000001E-3</v>
      </c>
      <c r="Z63">
        <v>2023</v>
      </c>
      <c r="AA63">
        <v>-0.09</v>
      </c>
      <c r="AB63">
        <f t="shared" si="54"/>
        <v>0.40789636256000006</v>
      </c>
    </row>
    <row r="64" spans="1:29" x14ac:dyDescent="0.2">
      <c r="A64">
        <v>1.1000000000000001</v>
      </c>
      <c r="B64">
        <v>0.9</v>
      </c>
      <c r="C64">
        <v>0.46</v>
      </c>
      <c r="D64">
        <v>0.5</v>
      </c>
      <c r="E64">
        <v>-1.05</v>
      </c>
      <c r="F64">
        <v>-0.87</v>
      </c>
      <c r="G64">
        <v>-0.45</v>
      </c>
      <c r="H64">
        <v>-0.48</v>
      </c>
      <c r="I64">
        <v>0.5</v>
      </c>
      <c r="J64">
        <v>0.04</v>
      </c>
      <c r="K64">
        <f t="shared" si="41"/>
        <v>0.57500000000000007</v>
      </c>
      <c r="L64">
        <f t="shared" si="42"/>
        <v>0.46500000000000002</v>
      </c>
      <c r="M64">
        <f t="shared" si="43"/>
        <v>0.23500000000000001</v>
      </c>
      <c r="N64">
        <f t="shared" si="44"/>
        <v>0.26</v>
      </c>
      <c r="O64">
        <f t="shared" si="45"/>
        <v>-4.2000000000000003E-2</v>
      </c>
      <c r="P64">
        <f t="shared" si="46"/>
        <v>-3.4799999999999998E-2</v>
      </c>
      <c r="Q64">
        <f t="shared" si="47"/>
        <v>-1.8000000000000002E-2</v>
      </c>
      <c r="R64">
        <f t="shared" si="48"/>
        <v>-1.9199999999999998E-2</v>
      </c>
      <c r="S64">
        <v>1</v>
      </c>
      <c r="T64">
        <v>1</v>
      </c>
      <c r="U64">
        <f t="shared" si="49"/>
        <v>0.70000000000000007</v>
      </c>
      <c r="V64">
        <f t="shared" si="50"/>
        <v>-5.28E-2</v>
      </c>
      <c r="W64">
        <f t="shared" si="51"/>
        <v>0.40250000000000008</v>
      </c>
      <c r="X64">
        <f t="shared" si="52"/>
        <v>-5.9760000000000008E-2</v>
      </c>
      <c r="Y64">
        <f t="shared" si="53"/>
        <v>2.2176000000000001E-3</v>
      </c>
      <c r="Z64">
        <v>2025</v>
      </c>
      <c r="AA64">
        <v>1.2</v>
      </c>
      <c r="AB64">
        <f t="shared" si="54"/>
        <v>0.33398134400000007</v>
      </c>
      <c r="AC64" t="s">
        <v>2</v>
      </c>
    </row>
    <row r="66" spans="1:28" x14ac:dyDescent="0.2">
      <c r="A66">
        <v>1.1000000000000001</v>
      </c>
      <c r="B66">
        <v>0.9</v>
      </c>
      <c r="C66">
        <v>0.46</v>
      </c>
      <c r="D66">
        <v>0.5</v>
      </c>
      <c r="E66">
        <v>-1.05</v>
      </c>
      <c r="F66">
        <v>-0.87</v>
      </c>
      <c r="G66">
        <v>-0.45</v>
      </c>
      <c r="H66">
        <v>-0.48</v>
      </c>
      <c r="I66">
        <v>0.5</v>
      </c>
      <c r="J66">
        <v>0.04</v>
      </c>
      <c r="K66">
        <f>A66+E66*I66</f>
        <v>0.57500000000000007</v>
      </c>
      <c r="L66">
        <f>B66+F66*I66</f>
        <v>0.46500000000000002</v>
      </c>
      <c r="M66">
        <f>C66+G66*I66</f>
        <v>0.23500000000000001</v>
      </c>
      <c r="N66">
        <f>D66+H66*I66</f>
        <v>0.26</v>
      </c>
      <c r="O66">
        <f>E66*J66</f>
        <v>-4.2000000000000003E-2</v>
      </c>
      <c r="P66">
        <f>F66*J66</f>
        <v>-3.4799999999999998E-2</v>
      </c>
      <c r="Q66">
        <f>G66*J66</f>
        <v>-1.8000000000000002E-2</v>
      </c>
      <c r="R66">
        <f>H66*J66</f>
        <v>-1.9199999999999998E-2</v>
      </c>
      <c r="S66">
        <v>1</v>
      </c>
      <c r="T66">
        <v>-1</v>
      </c>
      <c r="U66">
        <f>IF(T66&gt;0, L66*S66+M66*ABS(T66),L66*S66+N66*ABS(T66))</f>
        <v>0.72500000000000009</v>
      </c>
      <c r="V66">
        <f>IF(T66&gt;0, P66*S66+Q66*ABS(T66),P66*S66+R66*ABS(T66))</f>
        <v>-5.3999999999999992E-2</v>
      </c>
      <c r="W66">
        <f>K66*U66</f>
        <v>0.41687500000000011</v>
      </c>
      <c r="X66">
        <f>K66*V66+U66*O66</f>
        <v>-6.1499999999999999E-2</v>
      </c>
      <c r="Y66">
        <f>O66*V66</f>
        <v>2.2679999999999996E-3</v>
      </c>
      <c r="Z66">
        <v>1989</v>
      </c>
      <c r="AA66">
        <v>0.09</v>
      </c>
      <c r="AB66">
        <f>W66+X66*AA66+Y66*AA66^2</f>
        <v>0.41135837080000009</v>
      </c>
    </row>
    <row r="67" spans="1:28" x14ac:dyDescent="0.2">
      <c r="A67">
        <v>1.1000000000000001</v>
      </c>
      <c r="B67">
        <v>0.9</v>
      </c>
      <c r="C67">
        <v>0.46</v>
      </c>
      <c r="D67">
        <v>0.5</v>
      </c>
      <c r="E67">
        <v>-1.05</v>
      </c>
      <c r="F67">
        <v>-0.87</v>
      </c>
      <c r="G67">
        <v>-0.45</v>
      </c>
      <c r="H67">
        <v>-0.48</v>
      </c>
      <c r="I67">
        <v>0.5</v>
      </c>
      <c r="J67">
        <v>0.04</v>
      </c>
      <c r="K67">
        <f t="shared" ref="K67:K84" si="55">A67+E67*I67</f>
        <v>0.57500000000000007</v>
      </c>
      <c r="L67">
        <f t="shared" ref="L67:L84" si="56">B67+F67*I67</f>
        <v>0.46500000000000002</v>
      </c>
      <c r="M67">
        <f t="shared" ref="M67:M84" si="57">C67+G67*I67</f>
        <v>0.23500000000000001</v>
      </c>
      <c r="N67">
        <f t="shared" ref="N67:N84" si="58">D67+H67*I67</f>
        <v>0.26</v>
      </c>
      <c r="O67">
        <f t="shared" ref="O67:O84" si="59">E67*J67</f>
        <v>-4.2000000000000003E-2</v>
      </c>
      <c r="P67">
        <f t="shared" ref="P67:P84" si="60">F67*J67</f>
        <v>-3.4799999999999998E-2</v>
      </c>
      <c r="Q67">
        <f t="shared" ref="Q67:Q84" si="61">G67*J67</f>
        <v>-1.8000000000000002E-2</v>
      </c>
      <c r="R67">
        <f t="shared" ref="R67:R84" si="62">H67*J67</f>
        <v>-1.9199999999999998E-2</v>
      </c>
      <c r="S67">
        <v>1</v>
      </c>
      <c r="T67">
        <v>-1</v>
      </c>
      <c r="U67">
        <f t="shared" ref="U67:U84" si="63">IF(T67&gt;0, L67*S67+M67*ABS(T67),L67*S67+N67*ABS(T67))</f>
        <v>0.72500000000000009</v>
      </c>
      <c r="V67">
        <f t="shared" ref="V67:V84" si="64">IF(T67&gt;0, P67*S67+Q67*ABS(T67),P67*S67+R67*ABS(T67))</f>
        <v>-5.3999999999999992E-2</v>
      </c>
      <c r="W67">
        <f t="shared" ref="W67:W84" si="65">K67*U67</f>
        <v>0.41687500000000011</v>
      </c>
      <c r="X67">
        <f t="shared" ref="X67:X84" si="66">K67*V67+U67*O67</f>
        <v>-6.1499999999999999E-2</v>
      </c>
      <c r="Y67">
        <f t="shared" ref="Y67:Y84" si="67">O67*V67</f>
        <v>2.2679999999999996E-3</v>
      </c>
      <c r="Z67">
        <v>1991</v>
      </c>
      <c r="AA67">
        <v>0.09</v>
      </c>
      <c r="AB67">
        <f t="shared" ref="AB67:AB84" si="68">W67+X67*AA67+Y67*AA67^2</f>
        <v>0.41135837080000009</v>
      </c>
    </row>
    <row r="68" spans="1:28" x14ac:dyDescent="0.2">
      <c r="A68">
        <v>1.1000000000000001</v>
      </c>
      <c r="B68">
        <v>0.9</v>
      </c>
      <c r="C68">
        <v>0.46</v>
      </c>
      <c r="D68">
        <v>0.5</v>
      </c>
      <c r="E68">
        <v>-1.05</v>
      </c>
      <c r="F68">
        <v>-0.87</v>
      </c>
      <c r="G68">
        <v>-0.45</v>
      </c>
      <c r="H68">
        <v>-0.48</v>
      </c>
      <c r="I68">
        <v>0.5</v>
      </c>
      <c r="J68">
        <v>0.04</v>
      </c>
      <c r="K68">
        <f t="shared" si="55"/>
        <v>0.57500000000000007</v>
      </c>
      <c r="L68">
        <f t="shared" si="56"/>
        <v>0.46500000000000002</v>
      </c>
      <c r="M68">
        <f t="shared" si="57"/>
        <v>0.23500000000000001</v>
      </c>
      <c r="N68">
        <f t="shared" si="58"/>
        <v>0.26</v>
      </c>
      <c r="O68">
        <f t="shared" si="59"/>
        <v>-4.2000000000000003E-2</v>
      </c>
      <c r="P68">
        <f t="shared" si="60"/>
        <v>-3.4799999999999998E-2</v>
      </c>
      <c r="Q68">
        <f t="shared" si="61"/>
        <v>-1.8000000000000002E-2</v>
      </c>
      <c r="R68">
        <f t="shared" si="62"/>
        <v>-1.9199999999999998E-2</v>
      </c>
      <c r="S68">
        <v>1</v>
      </c>
      <c r="T68">
        <v>-1</v>
      </c>
      <c r="U68">
        <f t="shared" si="63"/>
        <v>0.72500000000000009</v>
      </c>
      <c r="V68">
        <f t="shared" si="64"/>
        <v>-5.3999999999999992E-2</v>
      </c>
      <c r="W68">
        <f t="shared" si="65"/>
        <v>0.41687500000000011</v>
      </c>
      <c r="X68">
        <f t="shared" si="66"/>
        <v>-6.1499999999999999E-2</v>
      </c>
      <c r="Y68">
        <f t="shared" si="67"/>
        <v>2.2679999999999996E-3</v>
      </c>
      <c r="Z68">
        <v>1993</v>
      </c>
      <c r="AA68">
        <v>-1</v>
      </c>
      <c r="AB68">
        <f t="shared" si="68"/>
        <v>0.4806430000000001</v>
      </c>
    </row>
    <row r="69" spans="1:28" x14ac:dyDescent="0.2">
      <c r="A69">
        <v>1.1000000000000001</v>
      </c>
      <c r="B69">
        <v>0.9</v>
      </c>
      <c r="C69">
        <v>0.46</v>
      </c>
      <c r="D69">
        <v>0.5</v>
      </c>
      <c r="E69">
        <v>-1.05</v>
      </c>
      <c r="F69">
        <v>-0.87</v>
      </c>
      <c r="G69">
        <v>-0.45</v>
      </c>
      <c r="H69">
        <v>-0.48</v>
      </c>
      <c r="I69">
        <v>0.5</v>
      </c>
      <c r="J69">
        <v>0.04</v>
      </c>
      <c r="K69">
        <f t="shared" si="55"/>
        <v>0.57500000000000007</v>
      </c>
      <c r="L69">
        <f t="shared" si="56"/>
        <v>0.46500000000000002</v>
      </c>
      <c r="M69">
        <f t="shared" si="57"/>
        <v>0.23500000000000001</v>
      </c>
      <c r="N69">
        <f t="shared" si="58"/>
        <v>0.26</v>
      </c>
      <c r="O69">
        <f t="shared" si="59"/>
        <v>-4.2000000000000003E-2</v>
      </c>
      <c r="P69">
        <f t="shared" si="60"/>
        <v>-3.4799999999999998E-2</v>
      </c>
      <c r="Q69">
        <f t="shared" si="61"/>
        <v>-1.8000000000000002E-2</v>
      </c>
      <c r="R69">
        <f t="shared" si="62"/>
        <v>-1.9199999999999998E-2</v>
      </c>
      <c r="S69">
        <v>1</v>
      </c>
      <c r="T69">
        <v>-1</v>
      </c>
      <c r="U69">
        <f t="shared" si="63"/>
        <v>0.72500000000000009</v>
      </c>
      <c r="V69">
        <f t="shared" si="64"/>
        <v>-5.3999999999999992E-2</v>
      </c>
      <c r="W69">
        <f t="shared" si="65"/>
        <v>0.41687500000000011</v>
      </c>
      <c r="X69">
        <f t="shared" si="66"/>
        <v>-6.1499999999999999E-2</v>
      </c>
      <c r="Y69">
        <f t="shared" si="67"/>
        <v>2.2679999999999996E-3</v>
      </c>
      <c r="Z69">
        <v>1995</v>
      </c>
      <c r="AA69">
        <v>-0.09</v>
      </c>
      <c r="AB69">
        <f t="shared" si="68"/>
        <v>0.42242837080000012</v>
      </c>
    </row>
    <row r="70" spans="1:28" x14ac:dyDescent="0.2">
      <c r="A70">
        <v>1.1000000000000001</v>
      </c>
      <c r="B70">
        <v>0.9</v>
      </c>
      <c r="C70">
        <v>0.46</v>
      </c>
      <c r="D70">
        <v>0.5</v>
      </c>
      <c r="E70">
        <v>-1.05</v>
      </c>
      <c r="F70">
        <v>-0.87</v>
      </c>
      <c r="G70">
        <v>-0.45</v>
      </c>
      <c r="H70">
        <v>-0.48</v>
      </c>
      <c r="I70">
        <v>0.5</v>
      </c>
      <c r="J70">
        <v>0.04</v>
      </c>
      <c r="K70">
        <f t="shared" si="55"/>
        <v>0.57500000000000007</v>
      </c>
      <c r="L70">
        <f t="shared" si="56"/>
        <v>0.46500000000000002</v>
      </c>
      <c r="M70">
        <f t="shared" si="57"/>
        <v>0.23500000000000001</v>
      </c>
      <c r="N70">
        <f t="shared" si="58"/>
        <v>0.26</v>
      </c>
      <c r="O70">
        <f t="shared" si="59"/>
        <v>-4.2000000000000003E-2</v>
      </c>
      <c r="P70">
        <f t="shared" si="60"/>
        <v>-3.4799999999999998E-2</v>
      </c>
      <c r="Q70">
        <f t="shared" si="61"/>
        <v>-1.8000000000000002E-2</v>
      </c>
      <c r="R70">
        <f t="shared" si="62"/>
        <v>-1.9199999999999998E-2</v>
      </c>
      <c r="S70">
        <v>1</v>
      </c>
      <c r="T70">
        <v>-1</v>
      </c>
      <c r="U70">
        <f t="shared" si="63"/>
        <v>0.72500000000000009</v>
      </c>
      <c r="V70">
        <f t="shared" si="64"/>
        <v>-5.3999999999999992E-2</v>
      </c>
      <c r="W70">
        <f t="shared" si="65"/>
        <v>0.41687500000000011</v>
      </c>
      <c r="X70">
        <f t="shared" si="66"/>
        <v>-6.1499999999999999E-2</v>
      </c>
      <c r="Y70">
        <f t="shared" si="67"/>
        <v>2.2679999999999996E-3</v>
      </c>
      <c r="Z70">
        <v>1997</v>
      </c>
      <c r="AA70">
        <v>-0.09</v>
      </c>
      <c r="AB70">
        <f t="shared" si="68"/>
        <v>0.42242837080000012</v>
      </c>
    </row>
    <row r="71" spans="1:28" x14ac:dyDescent="0.2">
      <c r="A71">
        <v>1.1000000000000001</v>
      </c>
      <c r="B71">
        <v>0.9</v>
      </c>
      <c r="C71">
        <v>0.46</v>
      </c>
      <c r="D71">
        <v>0.5</v>
      </c>
      <c r="E71">
        <v>-1.05</v>
      </c>
      <c r="F71">
        <v>-0.87</v>
      </c>
      <c r="G71">
        <v>-0.45</v>
      </c>
      <c r="H71">
        <v>-0.48</v>
      </c>
      <c r="I71">
        <v>0.5</v>
      </c>
      <c r="J71">
        <v>0.04</v>
      </c>
      <c r="K71">
        <f t="shared" si="55"/>
        <v>0.57500000000000007</v>
      </c>
      <c r="L71">
        <f t="shared" si="56"/>
        <v>0.46500000000000002</v>
      </c>
      <c r="M71">
        <f t="shared" si="57"/>
        <v>0.23500000000000001</v>
      </c>
      <c r="N71">
        <f t="shared" si="58"/>
        <v>0.26</v>
      </c>
      <c r="O71">
        <f t="shared" si="59"/>
        <v>-4.2000000000000003E-2</v>
      </c>
      <c r="P71">
        <f t="shared" si="60"/>
        <v>-3.4799999999999998E-2</v>
      </c>
      <c r="Q71">
        <f t="shared" si="61"/>
        <v>-1.8000000000000002E-2</v>
      </c>
      <c r="R71">
        <f t="shared" si="62"/>
        <v>-1.9199999999999998E-2</v>
      </c>
      <c r="S71">
        <v>1</v>
      </c>
      <c r="T71">
        <v>-1</v>
      </c>
      <c r="U71">
        <f t="shared" si="63"/>
        <v>0.72500000000000009</v>
      </c>
      <c r="V71">
        <f t="shared" si="64"/>
        <v>-5.3999999999999992E-2</v>
      </c>
      <c r="W71">
        <f t="shared" si="65"/>
        <v>0.41687500000000011</v>
      </c>
      <c r="X71">
        <f t="shared" si="66"/>
        <v>-6.1499999999999999E-2</v>
      </c>
      <c r="Y71">
        <f t="shared" si="67"/>
        <v>2.2679999999999996E-3</v>
      </c>
      <c r="Z71">
        <v>1999</v>
      </c>
      <c r="AA71">
        <v>-0.09</v>
      </c>
      <c r="AB71">
        <f t="shared" si="68"/>
        <v>0.42242837080000012</v>
      </c>
    </row>
    <row r="72" spans="1:28" x14ac:dyDescent="0.2">
      <c r="A72">
        <v>1.1000000000000001</v>
      </c>
      <c r="B72">
        <v>0.9</v>
      </c>
      <c r="C72">
        <v>0.46</v>
      </c>
      <c r="D72">
        <v>0.5</v>
      </c>
      <c r="E72">
        <v>-1.05</v>
      </c>
      <c r="F72">
        <v>-0.87</v>
      </c>
      <c r="G72">
        <v>-0.45</v>
      </c>
      <c r="H72">
        <v>-0.48</v>
      </c>
      <c r="I72">
        <v>0.5</v>
      </c>
      <c r="J72">
        <v>0.04</v>
      </c>
      <c r="K72">
        <f t="shared" si="55"/>
        <v>0.57500000000000007</v>
      </c>
      <c r="L72">
        <f t="shared" si="56"/>
        <v>0.46500000000000002</v>
      </c>
      <c r="M72">
        <f t="shared" si="57"/>
        <v>0.23500000000000001</v>
      </c>
      <c r="N72">
        <f t="shared" si="58"/>
        <v>0.26</v>
      </c>
      <c r="O72">
        <f t="shared" si="59"/>
        <v>-4.2000000000000003E-2</v>
      </c>
      <c r="P72">
        <f t="shared" si="60"/>
        <v>-3.4799999999999998E-2</v>
      </c>
      <c r="Q72">
        <f t="shared" si="61"/>
        <v>-1.8000000000000002E-2</v>
      </c>
      <c r="R72">
        <f t="shared" si="62"/>
        <v>-1.9199999999999998E-2</v>
      </c>
      <c r="S72">
        <v>1</v>
      </c>
      <c r="T72">
        <v>-1</v>
      </c>
      <c r="U72">
        <f t="shared" si="63"/>
        <v>0.72500000000000009</v>
      </c>
      <c r="V72">
        <f t="shared" si="64"/>
        <v>-5.3999999999999992E-2</v>
      </c>
      <c r="W72">
        <f t="shared" si="65"/>
        <v>0.41687500000000011</v>
      </c>
      <c r="X72">
        <f t="shared" si="66"/>
        <v>-6.1499999999999999E-2</v>
      </c>
      <c r="Y72">
        <f t="shared" si="67"/>
        <v>2.2679999999999996E-3</v>
      </c>
      <c r="Z72">
        <v>2001</v>
      </c>
      <c r="AA72">
        <v>0.82</v>
      </c>
      <c r="AB72">
        <f t="shared" si="68"/>
        <v>0.36797000320000012</v>
      </c>
    </row>
    <row r="73" spans="1:28" x14ac:dyDescent="0.2">
      <c r="A73">
        <v>1.1000000000000001</v>
      </c>
      <c r="B73">
        <v>0.9</v>
      </c>
      <c r="C73">
        <v>0.46</v>
      </c>
      <c r="D73">
        <v>0.5</v>
      </c>
      <c r="E73">
        <v>-1.05</v>
      </c>
      <c r="F73">
        <v>-0.87</v>
      </c>
      <c r="G73">
        <v>-0.45</v>
      </c>
      <c r="H73">
        <v>-0.48</v>
      </c>
      <c r="I73">
        <v>0.5</v>
      </c>
      <c r="J73">
        <v>0.04</v>
      </c>
      <c r="K73">
        <f t="shared" si="55"/>
        <v>0.57500000000000007</v>
      </c>
      <c r="L73">
        <f t="shared" si="56"/>
        <v>0.46500000000000002</v>
      </c>
      <c r="M73">
        <f t="shared" si="57"/>
        <v>0.23500000000000001</v>
      </c>
      <c r="N73">
        <f t="shared" si="58"/>
        <v>0.26</v>
      </c>
      <c r="O73">
        <f t="shared" si="59"/>
        <v>-4.2000000000000003E-2</v>
      </c>
      <c r="P73">
        <f t="shared" si="60"/>
        <v>-3.4799999999999998E-2</v>
      </c>
      <c r="Q73">
        <f t="shared" si="61"/>
        <v>-1.8000000000000002E-2</v>
      </c>
      <c r="R73">
        <f t="shared" si="62"/>
        <v>-1.9199999999999998E-2</v>
      </c>
      <c r="S73">
        <v>1</v>
      </c>
      <c r="T73">
        <v>-1</v>
      </c>
      <c r="U73">
        <f t="shared" si="63"/>
        <v>0.72500000000000009</v>
      </c>
      <c r="V73">
        <f t="shared" si="64"/>
        <v>-5.3999999999999992E-2</v>
      </c>
      <c r="W73">
        <f t="shared" si="65"/>
        <v>0.41687500000000011</v>
      </c>
      <c r="X73">
        <f t="shared" si="66"/>
        <v>-6.1499999999999999E-2</v>
      </c>
      <c r="Y73">
        <f t="shared" si="67"/>
        <v>2.2679999999999996E-3</v>
      </c>
      <c r="Z73">
        <v>2003</v>
      </c>
      <c r="AA73">
        <v>1</v>
      </c>
      <c r="AB73">
        <f t="shared" si="68"/>
        <v>0.3576430000000001</v>
      </c>
    </row>
    <row r="74" spans="1:28" x14ac:dyDescent="0.2">
      <c r="A74">
        <v>1.1000000000000001</v>
      </c>
      <c r="B74">
        <v>0.9</v>
      </c>
      <c r="C74">
        <v>0.46</v>
      </c>
      <c r="D74">
        <v>0.5</v>
      </c>
      <c r="E74">
        <v>-1.05</v>
      </c>
      <c r="F74">
        <v>-0.87</v>
      </c>
      <c r="G74">
        <v>-0.45</v>
      </c>
      <c r="H74">
        <v>-0.48</v>
      </c>
      <c r="I74">
        <v>0.5</v>
      </c>
      <c r="J74">
        <v>0.04</v>
      </c>
      <c r="K74">
        <f t="shared" si="55"/>
        <v>0.57500000000000007</v>
      </c>
      <c r="L74">
        <f t="shared" si="56"/>
        <v>0.46500000000000002</v>
      </c>
      <c r="M74">
        <f t="shared" si="57"/>
        <v>0.23500000000000001</v>
      </c>
      <c r="N74">
        <f t="shared" si="58"/>
        <v>0.26</v>
      </c>
      <c r="O74">
        <f t="shared" si="59"/>
        <v>-4.2000000000000003E-2</v>
      </c>
      <c r="P74">
        <f t="shared" si="60"/>
        <v>-3.4799999999999998E-2</v>
      </c>
      <c r="Q74">
        <f t="shared" si="61"/>
        <v>-1.8000000000000002E-2</v>
      </c>
      <c r="R74">
        <f t="shared" si="62"/>
        <v>-1.9199999999999998E-2</v>
      </c>
      <c r="S74">
        <v>1</v>
      </c>
      <c r="T74">
        <v>-1</v>
      </c>
      <c r="U74">
        <f t="shared" si="63"/>
        <v>0.72500000000000009</v>
      </c>
      <c r="V74">
        <f t="shared" si="64"/>
        <v>-5.3999999999999992E-2</v>
      </c>
      <c r="W74">
        <f t="shared" si="65"/>
        <v>0.41687500000000011</v>
      </c>
      <c r="X74">
        <f t="shared" si="66"/>
        <v>-6.1499999999999999E-2</v>
      </c>
      <c r="Y74">
        <f t="shared" si="67"/>
        <v>2.2679999999999996E-3</v>
      </c>
      <c r="Z74">
        <v>2005</v>
      </c>
      <c r="AA74">
        <v>1</v>
      </c>
      <c r="AB74">
        <f t="shared" si="68"/>
        <v>0.3576430000000001</v>
      </c>
    </row>
    <row r="75" spans="1:28" x14ac:dyDescent="0.2">
      <c r="A75">
        <v>1.1000000000000001</v>
      </c>
      <c r="B75">
        <v>0.9</v>
      </c>
      <c r="C75">
        <v>0.46</v>
      </c>
      <c r="D75">
        <v>0.5</v>
      </c>
      <c r="E75">
        <v>-1.05</v>
      </c>
      <c r="F75">
        <v>-0.87</v>
      </c>
      <c r="G75">
        <v>-0.45</v>
      </c>
      <c r="H75">
        <v>-0.48</v>
      </c>
      <c r="I75">
        <v>0.5</v>
      </c>
      <c r="J75">
        <v>0.04</v>
      </c>
      <c r="K75">
        <f t="shared" si="55"/>
        <v>0.57500000000000007</v>
      </c>
      <c r="L75">
        <f t="shared" si="56"/>
        <v>0.46500000000000002</v>
      </c>
      <c r="M75">
        <f t="shared" si="57"/>
        <v>0.23500000000000001</v>
      </c>
      <c r="N75">
        <f t="shared" si="58"/>
        <v>0.26</v>
      </c>
      <c r="O75">
        <f t="shared" si="59"/>
        <v>-4.2000000000000003E-2</v>
      </c>
      <c r="P75">
        <f t="shared" si="60"/>
        <v>-3.4799999999999998E-2</v>
      </c>
      <c r="Q75">
        <f t="shared" si="61"/>
        <v>-1.8000000000000002E-2</v>
      </c>
      <c r="R75">
        <f t="shared" si="62"/>
        <v>-1.9199999999999998E-2</v>
      </c>
      <c r="S75">
        <v>1</v>
      </c>
      <c r="T75">
        <v>-1</v>
      </c>
      <c r="U75">
        <f t="shared" si="63"/>
        <v>0.72500000000000009</v>
      </c>
      <c r="V75">
        <f t="shared" si="64"/>
        <v>-5.3999999999999992E-2</v>
      </c>
      <c r="W75">
        <f t="shared" si="65"/>
        <v>0.41687500000000011</v>
      </c>
      <c r="X75">
        <f t="shared" si="66"/>
        <v>-6.1499999999999999E-2</v>
      </c>
      <c r="Y75">
        <f t="shared" si="67"/>
        <v>2.2679999999999996E-3</v>
      </c>
      <c r="Z75">
        <v>2007</v>
      </c>
      <c r="AA75">
        <v>0.27</v>
      </c>
      <c r="AB75">
        <f t="shared" si="68"/>
        <v>0.40043533720000013</v>
      </c>
    </row>
    <row r="76" spans="1:28" x14ac:dyDescent="0.2">
      <c r="A76">
        <v>1.1000000000000001</v>
      </c>
      <c r="B76">
        <v>0.9</v>
      </c>
      <c r="C76">
        <v>0.46</v>
      </c>
      <c r="D76">
        <v>0.5</v>
      </c>
      <c r="E76">
        <v>-1.05</v>
      </c>
      <c r="F76">
        <v>-0.87</v>
      </c>
      <c r="G76">
        <v>-0.45</v>
      </c>
      <c r="H76">
        <v>-0.48</v>
      </c>
      <c r="I76">
        <v>0.5</v>
      </c>
      <c r="J76">
        <v>0.04</v>
      </c>
      <c r="K76">
        <f t="shared" si="55"/>
        <v>0.57500000000000007</v>
      </c>
      <c r="L76">
        <f t="shared" si="56"/>
        <v>0.46500000000000002</v>
      </c>
      <c r="M76">
        <f t="shared" si="57"/>
        <v>0.23500000000000001</v>
      </c>
      <c r="N76">
        <f t="shared" si="58"/>
        <v>0.26</v>
      </c>
      <c r="O76">
        <f t="shared" si="59"/>
        <v>-4.2000000000000003E-2</v>
      </c>
      <c r="P76">
        <f t="shared" si="60"/>
        <v>-3.4799999999999998E-2</v>
      </c>
      <c r="Q76">
        <f t="shared" si="61"/>
        <v>-1.8000000000000002E-2</v>
      </c>
      <c r="R76">
        <f t="shared" si="62"/>
        <v>-1.9199999999999998E-2</v>
      </c>
      <c r="S76">
        <v>1</v>
      </c>
      <c r="T76">
        <v>-1</v>
      </c>
      <c r="U76">
        <f t="shared" si="63"/>
        <v>0.72500000000000009</v>
      </c>
      <c r="V76">
        <f t="shared" si="64"/>
        <v>-5.3999999999999992E-2</v>
      </c>
      <c r="W76">
        <f t="shared" si="65"/>
        <v>0.41687500000000011</v>
      </c>
      <c r="X76">
        <f t="shared" si="66"/>
        <v>-6.1499999999999999E-2</v>
      </c>
      <c r="Y76">
        <f t="shared" si="67"/>
        <v>2.2679999999999996E-3</v>
      </c>
      <c r="Z76">
        <v>2009</v>
      </c>
      <c r="AA76">
        <v>-1</v>
      </c>
      <c r="AB76">
        <f t="shared" si="68"/>
        <v>0.4806430000000001</v>
      </c>
    </row>
    <row r="77" spans="1:28" x14ac:dyDescent="0.2">
      <c r="A77">
        <v>1.1000000000000001</v>
      </c>
      <c r="B77">
        <v>0.9</v>
      </c>
      <c r="C77">
        <v>0.46</v>
      </c>
      <c r="D77">
        <v>0.5</v>
      </c>
      <c r="E77">
        <v>-1.05</v>
      </c>
      <c r="F77">
        <v>-0.87</v>
      </c>
      <c r="G77">
        <v>-0.45</v>
      </c>
      <c r="H77">
        <v>-0.48</v>
      </c>
      <c r="I77">
        <v>0.5</v>
      </c>
      <c r="J77">
        <v>0.04</v>
      </c>
      <c r="K77">
        <f t="shared" si="55"/>
        <v>0.57500000000000007</v>
      </c>
      <c r="L77">
        <f t="shared" si="56"/>
        <v>0.46500000000000002</v>
      </c>
      <c r="M77">
        <f t="shared" si="57"/>
        <v>0.23500000000000001</v>
      </c>
      <c r="N77">
        <f t="shared" si="58"/>
        <v>0.26</v>
      </c>
      <c r="O77">
        <f t="shared" si="59"/>
        <v>-4.2000000000000003E-2</v>
      </c>
      <c r="P77">
        <f t="shared" si="60"/>
        <v>-3.4799999999999998E-2</v>
      </c>
      <c r="Q77">
        <f t="shared" si="61"/>
        <v>-1.8000000000000002E-2</v>
      </c>
      <c r="R77">
        <f t="shared" si="62"/>
        <v>-1.9199999999999998E-2</v>
      </c>
      <c r="S77">
        <v>1</v>
      </c>
      <c r="T77">
        <v>-1</v>
      </c>
      <c r="U77">
        <f t="shared" si="63"/>
        <v>0.72500000000000009</v>
      </c>
      <c r="V77">
        <f t="shared" si="64"/>
        <v>-5.3999999999999992E-2</v>
      </c>
      <c r="W77">
        <f t="shared" si="65"/>
        <v>0.41687500000000011</v>
      </c>
      <c r="X77">
        <f t="shared" si="66"/>
        <v>-6.1499999999999999E-2</v>
      </c>
      <c r="Y77">
        <f t="shared" si="67"/>
        <v>2.2679999999999996E-3</v>
      </c>
      <c r="Z77">
        <v>2011</v>
      </c>
      <c r="AA77">
        <v>-0.45</v>
      </c>
      <c r="AB77">
        <f t="shared" si="68"/>
        <v>0.44500927000000012</v>
      </c>
    </row>
    <row r="78" spans="1:28" x14ac:dyDescent="0.2">
      <c r="A78">
        <v>1.1000000000000001</v>
      </c>
      <c r="B78">
        <v>0.9</v>
      </c>
      <c r="C78">
        <v>0.46</v>
      </c>
      <c r="D78">
        <v>0.5</v>
      </c>
      <c r="E78">
        <v>-1.05</v>
      </c>
      <c r="F78">
        <v>-0.87</v>
      </c>
      <c r="G78">
        <v>-0.45</v>
      </c>
      <c r="H78">
        <v>-0.48</v>
      </c>
      <c r="I78">
        <v>0.5</v>
      </c>
      <c r="J78">
        <v>0.04</v>
      </c>
      <c r="K78">
        <f t="shared" si="55"/>
        <v>0.57500000000000007</v>
      </c>
      <c r="L78">
        <f t="shared" si="56"/>
        <v>0.46500000000000002</v>
      </c>
      <c r="M78">
        <f t="shared" si="57"/>
        <v>0.23500000000000001</v>
      </c>
      <c r="N78">
        <f t="shared" si="58"/>
        <v>0.26</v>
      </c>
      <c r="O78">
        <f t="shared" si="59"/>
        <v>-4.2000000000000003E-2</v>
      </c>
      <c r="P78">
        <f t="shared" si="60"/>
        <v>-3.4799999999999998E-2</v>
      </c>
      <c r="Q78">
        <f t="shared" si="61"/>
        <v>-1.8000000000000002E-2</v>
      </c>
      <c r="R78">
        <f t="shared" si="62"/>
        <v>-1.9199999999999998E-2</v>
      </c>
      <c r="S78">
        <v>1</v>
      </c>
      <c r="T78">
        <v>-1</v>
      </c>
      <c r="U78">
        <f t="shared" si="63"/>
        <v>0.72500000000000009</v>
      </c>
      <c r="V78">
        <f t="shared" si="64"/>
        <v>-5.3999999999999992E-2</v>
      </c>
      <c r="W78">
        <f t="shared" si="65"/>
        <v>0.41687500000000011</v>
      </c>
      <c r="X78">
        <f t="shared" si="66"/>
        <v>-6.1499999999999999E-2</v>
      </c>
      <c r="Y78">
        <f t="shared" si="67"/>
        <v>2.2679999999999996E-3</v>
      </c>
      <c r="Z78">
        <v>2013</v>
      </c>
      <c r="AA78">
        <v>-0.45</v>
      </c>
      <c r="AB78">
        <f t="shared" si="68"/>
        <v>0.44500927000000012</v>
      </c>
    </row>
    <row r="79" spans="1:28" x14ac:dyDescent="0.2">
      <c r="A79">
        <v>1.1000000000000001</v>
      </c>
      <c r="B79">
        <v>0.9</v>
      </c>
      <c r="C79">
        <v>0.46</v>
      </c>
      <c r="D79">
        <v>0.5</v>
      </c>
      <c r="E79">
        <v>-1.05</v>
      </c>
      <c r="F79">
        <v>-0.87</v>
      </c>
      <c r="G79">
        <v>-0.45</v>
      </c>
      <c r="H79">
        <v>-0.48</v>
      </c>
      <c r="I79">
        <v>0.5</v>
      </c>
      <c r="J79">
        <v>0.04</v>
      </c>
      <c r="K79">
        <f t="shared" si="55"/>
        <v>0.57500000000000007</v>
      </c>
      <c r="L79">
        <f t="shared" si="56"/>
        <v>0.46500000000000002</v>
      </c>
      <c r="M79">
        <f t="shared" si="57"/>
        <v>0.23500000000000001</v>
      </c>
      <c r="N79">
        <f t="shared" si="58"/>
        <v>0.26</v>
      </c>
      <c r="O79">
        <f t="shared" si="59"/>
        <v>-4.2000000000000003E-2</v>
      </c>
      <c r="P79">
        <f t="shared" si="60"/>
        <v>-3.4799999999999998E-2</v>
      </c>
      <c r="Q79">
        <f t="shared" si="61"/>
        <v>-1.8000000000000002E-2</v>
      </c>
      <c r="R79">
        <f t="shared" si="62"/>
        <v>-1.9199999999999998E-2</v>
      </c>
      <c r="S79">
        <v>1</v>
      </c>
      <c r="T79">
        <v>-1</v>
      </c>
      <c r="U79">
        <f t="shared" si="63"/>
        <v>0.72500000000000009</v>
      </c>
      <c r="V79">
        <f t="shared" si="64"/>
        <v>-5.3999999999999992E-2</v>
      </c>
      <c r="W79">
        <f t="shared" si="65"/>
        <v>0.41687500000000011</v>
      </c>
      <c r="X79">
        <f t="shared" si="66"/>
        <v>-6.1499999999999999E-2</v>
      </c>
      <c r="Y79">
        <f t="shared" si="67"/>
        <v>2.2679999999999996E-3</v>
      </c>
      <c r="Z79">
        <v>2015</v>
      </c>
      <c r="AA79">
        <v>-0.09</v>
      </c>
      <c r="AB79">
        <f t="shared" si="68"/>
        <v>0.42242837080000012</v>
      </c>
    </row>
    <row r="80" spans="1:28" x14ac:dyDescent="0.2">
      <c r="A80">
        <v>1.1000000000000001</v>
      </c>
      <c r="B80">
        <v>0.9</v>
      </c>
      <c r="C80">
        <v>0.46</v>
      </c>
      <c r="D80">
        <v>0.5</v>
      </c>
      <c r="E80">
        <v>-1.05</v>
      </c>
      <c r="F80">
        <v>-0.87</v>
      </c>
      <c r="G80">
        <v>-0.45</v>
      </c>
      <c r="H80">
        <v>-0.48</v>
      </c>
      <c r="I80">
        <v>0.5</v>
      </c>
      <c r="J80">
        <v>0.04</v>
      </c>
      <c r="K80">
        <f t="shared" si="55"/>
        <v>0.57500000000000007</v>
      </c>
      <c r="L80">
        <f t="shared" si="56"/>
        <v>0.46500000000000002</v>
      </c>
      <c r="M80">
        <f t="shared" si="57"/>
        <v>0.23500000000000001</v>
      </c>
      <c r="N80">
        <f t="shared" si="58"/>
        <v>0.26</v>
      </c>
      <c r="O80">
        <f t="shared" si="59"/>
        <v>-4.2000000000000003E-2</v>
      </c>
      <c r="P80">
        <f t="shared" si="60"/>
        <v>-3.4799999999999998E-2</v>
      </c>
      <c r="Q80">
        <f t="shared" si="61"/>
        <v>-1.8000000000000002E-2</v>
      </c>
      <c r="R80">
        <f t="shared" si="62"/>
        <v>-1.9199999999999998E-2</v>
      </c>
      <c r="S80">
        <v>1</v>
      </c>
      <c r="T80">
        <v>-1</v>
      </c>
      <c r="U80">
        <f t="shared" si="63"/>
        <v>0.72500000000000009</v>
      </c>
      <c r="V80">
        <f t="shared" si="64"/>
        <v>-5.3999999999999992E-2</v>
      </c>
      <c r="W80">
        <f t="shared" si="65"/>
        <v>0.41687500000000011</v>
      </c>
      <c r="X80">
        <f t="shared" si="66"/>
        <v>-6.1499999999999999E-2</v>
      </c>
      <c r="Y80">
        <f t="shared" si="67"/>
        <v>2.2679999999999996E-3</v>
      </c>
      <c r="Z80">
        <v>2017</v>
      </c>
      <c r="AA80">
        <v>1.2</v>
      </c>
      <c r="AB80">
        <f t="shared" si="68"/>
        <v>0.34634092000000011</v>
      </c>
    </row>
    <row r="81" spans="1:29" x14ac:dyDescent="0.2">
      <c r="A81">
        <v>1.1000000000000001</v>
      </c>
      <c r="B81">
        <v>0.9</v>
      </c>
      <c r="C81">
        <v>0.46</v>
      </c>
      <c r="D81">
        <v>0.5</v>
      </c>
      <c r="E81">
        <v>-1.05</v>
      </c>
      <c r="F81">
        <v>-0.87</v>
      </c>
      <c r="G81">
        <v>-0.45</v>
      </c>
      <c r="H81">
        <v>-0.48</v>
      </c>
      <c r="I81">
        <v>0.5</v>
      </c>
      <c r="J81">
        <v>0.04</v>
      </c>
      <c r="K81">
        <f t="shared" si="55"/>
        <v>0.57500000000000007</v>
      </c>
      <c r="L81">
        <f t="shared" si="56"/>
        <v>0.46500000000000002</v>
      </c>
      <c r="M81">
        <f t="shared" si="57"/>
        <v>0.23500000000000001</v>
      </c>
      <c r="N81">
        <f t="shared" si="58"/>
        <v>0.26</v>
      </c>
      <c r="O81">
        <f t="shared" si="59"/>
        <v>-4.2000000000000003E-2</v>
      </c>
      <c r="P81">
        <f t="shared" si="60"/>
        <v>-3.4799999999999998E-2</v>
      </c>
      <c r="Q81">
        <f t="shared" si="61"/>
        <v>-1.8000000000000002E-2</v>
      </c>
      <c r="R81">
        <f t="shared" si="62"/>
        <v>-1.9199999999999998E-2</v>
      </c>
      <c r="S81">
        <v>1</v>
      </c>
      <c r="T81">
        <v>-1</v>
      </c>
      <c r="U81">
        <f t="shared" si="63"/>
        <v>0.72500000000000009</v>
      </c>
      <c r="V81">
        <f t="shared" si="64"/>
        <v>-5.3999999999999992E-2</v>
      </c>
      <c r="W81">
        <f t="shared" si="65"/>
        <v>0.41687500000000011</v>
      </c>
      <c r="X81">
        <f t="shared" si="66"/>
        <v>-6.1499999999999999E-2</v>
      </c>
      <c r="Y81">
        <f t="shared" si="67"/>
        <v>2.2679999999999996E-3</v>
      </c>
      <c r="Z81">
        <v>2019</v>
      </c>
      <c r="AA81">
        <v>0.65</v>
      </c>
      <c r="AB81">
        <f t="shared" si="68"/>
        <v>0.37785823000000013</v>
      </c>
    </row>
    <row r="82" spans="1:29" x14ac:dyDescent="0.2">
      <c r="A82">
        <v>1.1000000000000001</v>
      </c>
      <c r="B82">
        <v>0.9</v>
      </c>
      <c r="C82">
        <v>0.46</v>
      </c>
      <c r="D82">
        <v>0.5</v>
      </c>
      <c r="E82">
        <v>-1.05</v>
      </c>
      <c r="F82">
        <v>-0.87</v>
      </c>
      <c r="G82">
        <v>-0.45</v>
      </c>
      <c r="H82">
        <v>-0.48</v>
      </c>
      <c r="I82">
        <v>0.5</v>
      </c>
      <c r="J82">
        <v>0.04</v>
      </c>
      <c r="K82">
        <f t="shared" si="55"/>
        <v>0.57500000000000007</v>
      </c>
      <c r="L82">
        <f t="shared" si="56"/>
        <v>0.46500000000000002</v>
      </c>
      <c r="M82">
        <f t="shared" si="57"/>
        <v>0.23500000000000001</v>
      </c>
      <c r="N82">
        <f t="shared" si="58"/>
        <v>0.26</v>
      </c>
      <c r="O82">
        <f t="shared" si="59"/>
        <v>-4.2000000000000003E-2</v>
      </c>
      <c r="P82">
        <f t="shared" si="60"/>
        <v>-3.4799999999999998E-2</v>
      </c>
      <c r="Q82">
        <f t="shared" si="61"/>
        <v>-1.8000000000000002E-2</v>
      </c>
      <c r="R82">
        <f t="shared" si="62"/>
        <v>-1.9199999999999998E-2</v>
      </c>
      <c r="S82">
        <v>1</v>
      </c>
      <c r="T82">
        <v>-1</v>
      </c>
      <c r="U82">
        <f t="shared" si="63"/>
        <v>0.72500000000000009</v>
      </c>
      <c r="V82">
        <f t="shared" si="64"/>
        <v>-5.3999999999999992E-2</v>
      </c>
      <c r="W82">
        <f t="shared" si="65"/>
        <v>0.41687500000000011</v>
      </c>
      <c r="X82">
        <f t="shared" si="66"/>
        <v>-6.1499999999999999E-2</v>
      </c>
      <c r="Y82">
        <f t="shared" si="67"/>
        <v>2.2679999999999996E-3</v>
      </c>
      <c r="Z82">
        <v>2021</v>
      </c>
      <c r="AA82">
        <v>-0.64</v>
      </c>
      <c r="AB82">
        <f t="shared" si="68"/>
        <v>0.4571639728000001</v>
      </c>
    </row>
    <row r="83" spans="1:29" x14ac:dyDescent="0.2">
      <c r="A83">
        <v>1.1000000000000001</v>
      </c>
      <c r="B83">
        <v>0.9</v>
      </c>
      <c r="C83">
        <v>0.46</v>
      </c>
      <c r="D83">
        <v>0.5</v>
      </c>
      <c r="E83">
        <v>-1.05</v>
      </c>
      <c r="F83">
        <v>-0.87</v>
      </c>
      <c r="G83">
        <v>-0.45</v>
      </c>
      <c r="H83">
        <v>-0.48</v>
      </c>
      <c r="I83">
        <v>0.5</v>
      </c>
      <c r="J83">
        <v>0.04</v>
      </c>
      <c r="K83">
        <f t="shared" si="55"/>
        <v>0.57500000000000007</v>
      </c>
      <c r="L83">
        <f t="shared" si="56"/>
        <v>0.46500000000000002</v>
      </c>
      <c r="M83">
        <f t="shared" si="57"/>
        <v>0.23500000000000001</v>
      </c>
      <c r="N83">
        <f t="shared" si="58"/>
        <v>0.26</v>
      </c>
      <c r="O83">
        <f t="shared" si="59"/>
        <v>-4.2000000000000003E-2</v>
      </c>
      <c r="P83">
        <f t="shared" si="60"/>
        <v>-3.4799999999999998E-2</v>
      </c>
      <c r="Q83">
        <f t="shared" si="61"/>
        <v>-1.8000000000000002E-2</v>
      </c>
      <c r="R83">
        <f t="shared" si="62"/>
        <v>-1.9199999999999998E-2</v>
      </c>
      <c r="S83">
        <v>1</v>
      </c>
      <c r="T83">
        <v>-1</v>
      </c>
      <c r="U83">
        <f t="shared" si="63"/>
        <v>0.72500000000000009</v>
      </c>
      <c r="V83">
        <f t="shared" si="64"/>
        <v>-5.3999999999999992E-2</v>
      </c>
      <c r="W83">
        <f t="shared" si="65"/>
        <v>0.41687500000000011</v>
      </c>
      <c r="X83">
        <f t="shared" si="66"/>
        <v>-6.1499999999999999E-2</v>
      </c>
      <c r="Y83">
        <f t="shared" si="67"/>
        <v>2.2679999999999996E-3</v>
      </c>
      <c r="Z83">
        <v>2023</v>
      </c>
      <c r="AA83">
        <v>-0.09</v>
      </c>
      <c r="AB83">
        <f t="shared" si="68"/>
        <v>0.42242837080000012</v>
      </c>
    </row>
    <row r="84" spans="1:29" x14ac:dyDescent="0.2">
      <c r="A84">
        <v>1.1000000000000001</v>
      </c>
      <c r="B84">
        <v>0.9</v>
      </c>
      <c r="C84">
        <v>0.46</v>
      </c>
      <c r="D84">
        <v>0.5</v>
      </c>
      <c r="E84">
        <v>-1.05</v>
      </c>
      <c r="F84">
        <v>-0.87</v>
      </c>
      <c r="G84">
        <v>-0.45</v>
      </c>
      <c r="H84">
        <v>-0.48</v>
      </c>
      <c r="I84">
        <v>0.5</v>
      </c>
      <c r="J84">
        <v>0.04</v>
      </c>
      <c r="K84">
        <f t="shared" si="55"/>
        <v>0.57500000000000007</v>
      </c>
      <c r="L84">
        <f t="shared" si="56"/>
        <v>0.46500000000000002</v>
      </c>
      <c r="M84">
        <f t="shared" si="57"/>
        <v>0.23500000000000001</v>
      </c>
      <c r="N84">
        <f t="shared" si="58"/>
        <v>0.26</v>
      </c>
      <c r="O84">
        <f t="shared" si="59"/>
        <v>-4.2000000000000003E-2</v>
      </c>
      <c r="P84">
        <f t="shared" si="60"/>
        <v>-3.4799999999999998E-2</v>
      </c>
      <c r="Q84">
        <f t="shared" si="61"/>
        <v>-1.8000000000000002E-2</v>
      </c>
      <c r="R84">
        <f t="shared" si="62"/>
        <v>-1.9199999999999998E-2</v>
      </c>
      <c r="S84">
        <v>1</v>
      </c>
      <c r="T84">
        <v>-1</v>
      </c>
      <c r="U84">
        <f t="shared" si="63"/>
        <v>0.72500000000000009</v>
      </c>
      <c r="V84">
        <f t="shared" si="64"/>
        <v>-5.3999999999999992E-2</v>
      </c>
      <c r="W84">
        <f t="shared" si="65"/>
        <v>0.41687500000000011</v>
      </c>
      <c r="X84">
        <f t="shared" si="66"/>
        <v>-6.1499999999999999E-2</v>
      </c>
      <c r="Y84">
        <f t="shared" si="67"/>
        <v>2.2679999999999996E-3</v>
      </c>
      <c r="Z84">
        <v>2025</v>
      </c>
      <c r="AA84">
        <v>1.2</v>
      </c>
      <c r="AB84">
        <f t="shared" si="68"/>
        <v>0.34634092000000011</v>
      </c>
      <c r="AC84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experiment-00</vt:lpstr>
      <vt:lpstr>experiment-01</vt:lpstr>
      <vt:lpstr>power balance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ZHEHAO</dc:creator>
  <cp:lastModifiedBy>WANG ZHEHAO</cp:lastModifiedBy>
  <dcterms:created xsi:type="dcterms:W3CDTF">2025-08-08T07:31:23Z</dcterms:created>
  <dcterms:modified xsi:type="dcterms:W3CDTF">2025-12-12T03:38:51Z</dcterms:modified>
</cp:coreProperties>
</file>